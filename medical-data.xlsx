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-A121-15\Desktop\05-ProcessingInSpreadsheet-20260327\"/>
    </mc:Choice>
  </mc:AlternateContent>
  <xr:revisionPtr revIDLastSave="0" documentId="13_ncr:1_{6EF7330C-4501-46F5-9FA0-D6F4F76FB7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dical-data (3)" sheetId="21" r:id="rId1"/>
    <sheet name="medical-data (2)" sheetId="20" r:id="rId2"/>
    <sheet name="medical-data" sheetId="19" r:id="rId3"/>
    <sheet name="data" sheetId="1" r:id="rId4"/>
    <sheet name="data_women_men" sheetId="7" r:id="rId5"/>
    <sheet name="data_country" sheetId="9" r:id="rId6"/>
    <sheet name="data_tallest_country" sheetId="10" r:id="rId7"/>
    <sheet name="data_avg_bmi" sheetId="13" r:id="rId8"/>
    <sheet name="data_normal_bmi" sheetId="14" r:id="rId9"/>
    <sheet name="data_avg_weight_poland_slovakia" sheetId="16" r:id="rId10"/>
  </sheets>
  <definedNames>
    <definedName name="ExternalData_1" localSheetId="2" hidden="1">'medical-data'!$A$1:$E$99</definedName>
    <definedName name="ExternalData_2" localSheetId="1" hidden="1">'medical-data (2)'!$A$1:$H$101</definedName>
    <definedName name="ExternalData_3" localSheetId="0" hidden="1">'medical-data (3)'!$A$1:$H$101</definedName>
  </definedNames>
  <calcPr calcId="191029"/>
  <pivotCaches>
    <pivotCache cacheId="2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66" i="1"/>
  <c r="H6" i="1"/>
  <c r="H7" i="1"/>
  <c r="H35" i="1"/>
  <c r="H9" i="1"/>
  <c r="H10" i="1"/>
  <c r="H11" i="1"/>
  <c r="H12" i="1"/>
  <c r="H13" i="1"/>
  <c r="H74" i="1"/>
  <c r="H15" i="1"/>
  <c r="H52" i="1"/>
  <c r="H17" i="1"/>
  <c r="H18" i="1"/>
  <c r="H19" i="1"/>
  <c r="H26" i="1"/>
  <c r="H21" i="1"/>
  <c r="H81" i="1"/>
  <c r="H24" i="1"/>
  <c r="H20" i="1"/>
  <c r="H25" i="1"/>
  <c r="H94" i="1"/>
  <c r="H27" i="1"/>
  <c r="H28" i="1"/>
  <c r="H29" i="1"/>
  <c r="H2" i="1"/>
  <c r="H31" i="1"/>
  <c r="H32" i="1"/>
  <c r="H95" i="1"/>
  <c r="H34" i="1"/>
  <c r="H64" i="1"/>
  <c r="H36" i="1"/>
  <c r="H43" i="1"/>
  <c r="H38" i="1"/>
  <c r="H39" i="1"/>
  <c r="H40" i="1"/>
  <c r="H37" i="1"/>
  <c r="H91" i="1"/>
  <c r="H5" i="1"/>
  <c r="H44" i="1"/>
  <c r="H45" i="1"/>
  <c r="H46" i="1"/>
  <c r="H47" i="1"/>
  <c r="H48" i="1"/>
  <c r="H49" i="1"/>
  <c r="H50" i="1"/>
  <c r="H51" i="1"/>
  <c r="H42" i="1"/>
  <c r="H53" i="1"/>
  <c r="H54" i="1"/>
  <c r="H55" i="1"/>
  <c r="H56" i="1"/>
  <c r="H57" i="1"/>
  <c r="H58" i="1"/>
  <c r="H59" i="1"/>
  <c r="H60" i="1"/>
  <c r="H61" i="1"/>
  <c r="H14" i="1"/>
  <c r="H63" i="1"/>
  <c r="H92" i="1"/>
  <c r="H65" i="1"/>
  <c r="H93" i="1"/>
  <c r="H67" i="1"/>
  <c r="H68" i="1"/>
  <c r="H69" i="1"/>
  <c r="H70" i="1"/>
  <c r="H71" i="1"/>
  <c r="H72" i="1"/>
  <c r="H73" i="1"/>
  <c r="H16" i="1"/>
  <c r="H83" i="1"/>
  <c r="H76" i="1"/>
  <c r="H77" i="1"/>
  <c r="H78" i="1"/>
  <c r="H79" i="1"/>
  <c r="H22" i="1"/>
  <c r="H75" i="1"/>
  <c r="H82" i="1"/>
  <c r="H101" i="1"/>
  <c r="H84" i="1"/>
  <c r="H85" i="1"/>
  <c r="H86" i="1"/>
  <c r="H87" i="1"/>
  <c r="H23" i="1"/>
  <c r="H89" i="1"/>
  <c r="H90" i="1"/>
  <c r="H80" i="1"/>
  <c r="H30" i="1"/>
  <c r="H33" i="1"/>
  <c r="H88" i="1"/>
  <c r="H62" i="1"/>
  <c r="H8" i="1"/>
  <c r="H97" i="1"/>
  <c r="H98" i="1"/>
  <c r="H99" i="1"/>
  <c r="H100" i="1"/>
  <c r="H41" i="1"/>
  <c r="H96" i="1"/>
  <c r="H10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F5E355-D74A-42D2-A54B-F787549B378A}" keepAlive="1" name="Zapytanie — medical-data" description="Połączenie z zapytaniem „medical-data” w skoroszycie." type="5" refreshedVersion="8" background="1" saveData="1">
    <dbPr connection="Provider=Microsoft.Mashup.OleDb.1;Data Source=$Workbook$;Location=medical-data;Extended Properties=&quot;&quot;" command="SELECT * FROM [medical-data]"/>
  </connection>
  <connection id="2" xr16:uid="{0D611A5A-C7B3-4A1B-9F6B-6F647C1051A1}" keepAlive="1" name="Zapytanie — medical-data (2)" description="Połączenie z zapytaniem „medical-data (2)” w skoroszycie." type="5" refreshedVersion="8" background="1" saveData="1">
    <dbPr connection="Provider=Microsoft.Mashup.OleDb.1;Data Source=$Workbook$;Location=&quot;medical-data (2)&quot;;Extended Properties=&quot;&quot;" command="SELECT * FROM [medical-data (2)]"/>
  </connection>
  <connection id="3" xr16:uid="{3AE4FFC6-ACFD-41A6-AC3C-0DC7BBBD13BD}" keepAlive="1" name="Zapytanie — medical-data (3)" description="Połączenie z zapytaniem „medical-data (3)” w skoroszycie." type="5" refreshedVersion="8" background="1" saveData="1">
    <dbPr connection="Provider=Microsoft.Mashup.OleDb.1;Data Source=$Workbook$;Location=&quot;medical-data (3)&quot;;Extended Properties=&quot;&quot;" command="SELECT * FROM [medical-data (3)]"/>
  </connection>
</connections>
</file>

<file path=xl/sharedStrings.xml><?xml version="1.0" encoding="utf-8"?>
<sst xmlns="http://schemas.openxmlformats.org/spreadsheetml/2006/main" count="1466" uniqueCount="422">
  <si>
    <t>first_name</t>
  </si>
  <si>
    <t>last_name</t>
  </si>
  <si>
    <t>gender</t>
  </si>
  <si>
    <t>age</t>
  </si>
  <si>
    <t>height</t>
  </si>
  <si>
    <t>wage</t>
  </si>
  <si>
    <t>country</t>
  </si>
  <si>
    <t>Bailie</t>
  </si>
  <si>
    <t>Marzelli</t>
  </si>
  <si>
    <t>Male</t>
  </si>
  <si>
    <t>Germany</t>
  </si>
  <si>
    <t>Johanna</t>
  </si>
  <si>
    <t>Van Baaren</t>
  </si>
  <si>
    <t>Female</t>
  </si>
  <si>
    <t>Poland</t>
  </si>
  <si>
    <t>Mickie</t>
  </si>
  <si>
    <t>O'Leagham</t>
  </si>
  <si>
    <t>Hungary</t>
  </si>
  <si>
    <t>Cathrine</t>
  </si>
  <si>
    <t>Allso</t>
  </si>
  <si>
    <t>Carmella</t>
  </si>
  <si>
    <t>Sawdon</t>
  </si>
  <si>
    <t>Slovakia</t>
  </si>
  <si>
    <t>Lindi</t>
  </si>
  <si>
    <t>Valentelli</t>
  </si>
  <si>
    <t>Demetrius</t>
  </si>
  <si>
    <t>Philipp</t>
  </si>
  <si>
    <t>Johannes</t>
  </si>
  <si>
    <t>Davidai</t>
  </si>
  <si>
    <t>Cam</t>
  </si>
  <si>
    <t>Ferrey</t>
  </si>
  <si>
    <t>Vonny</t>
  </si>
  <si>
    <t>Wrey</t>
  </si>
  <si>
    <t>Ermina</t>
  </si>
  <si>
    <t>Chillingsworth</t>
  </si>
  <si>
    <t>Bear</t>
  </si>
  <si>
    <t>Enterle</t>
  </si>
  <si>
    <t>Lorie</t>
  </si>
  <si>
    <t>Yurivtsev</t>
  </si>
  <si>
    <t>Briney</t>
  </si>
  <si>
    <t>Zottoli</t>
  </si>
  <si>
    <t>Zonda</t>
  </si>
  <si>
    <t>Tetford</t>
  </si>
  <si>
    <t>Cristi</t>
  </si>
  <si>
    <t>Crush</t>
  </si>
  <si>
    <t>Patricia</t>
  </si>
  <si>
    <t>Bloxam</t>
  </si>
  <si>
    <t>Yoko</t>
  </si>
  <si>
    <t>Rangall</t>
  </si>
  <si>
    <t>Sax</t>
  </si>
  <si>
    <t>Baswall</t>
  </si>
  <si>
    <t>Madlen</t>
  </si>
  <si>
    <t>Crumbleholme</t>
  </si>
  <si>
    <t>Wendell</t>
  </si>
  <si>
    <t>Leadbitter</t>
  </si>
  <si>
    <t>Basilius</t>
  </si>
  <si>
    <t>Shatliff</t>
  </si>
  <si>
    <t>Phillis</t>
  </si>
  <si>
    <t>Armes</t>
  </si>
  <si>
    <t>Skelly</t>
  </si>
  <si>
    <t>Colmore</t>
  </si>
  <si>
    <t>Em</t>
  </si>
  <si>
    <t>Mathews</t>
  </si>
  <si>
    <t>Dion</t>
  </si>
  <si>
    <t>Maryon</t>
  </si>
  <si>
    <t>Albertina</t>
  </si>
  <si>
    <t>Siviour</t>
  </si>
  <si>
    <t>Austina</t>
  </si>
  <si>
    <t>Croney</t>
  </si>
  <si>
    <t>Skip</t>
  </si>
  <si>
    <t>Ingleton</t>
  </si>
  <si>
    <t>Wilona</t>
  </si>
  <si>
    <t>Trouel</t>
  </si>
  <si>
    <t>Jule</t>
  </si>
  <si>
    <t>Sulland</t>
  </si>
  <si>
    <t>Ariana</t>
  </si>
  <si>
    <t>Tampin</t>
  </si>
  <si>
    <t>Winfield</t>
  </si>
  <si>
    <t>Fenn</t>
  </si>
  <si>
    <t>Joya</t>
  </si>
  <si>
    <t>Dallicott</t>
  </si>
  <si>
    <t>Jorie</t>
  </si>
  <si>
    <t>Meegan</t>
  </si>
  <si>
    <t>Sunny</t>
  </si>
  <si>
    <t>Levin</t>
  </si>
  <si>
    <t>Erhart</t>
  </si>
  <si>
    <t>Meriot</t>
  </si>
  <si>
    <t>Wolfy</t>
  </si>
  <si>
    <t>Quigg</t>
  </si>
  <si>
    <t>Christie</t>
  </si>
  <si>
    <t>Ritchings</t>
  </si>
  <si>
    <t>Lettie</t>
  </si>
  <si>
    <t>Hearmon</t>
  </si>
  <si>
    <t>Janifer</t>
  </si>
  <si>
    <t>Tann</t>
  </si>
  <si>
    <t>Pooh</t>
  </si>
  <si>
    <t>Tomaszewski</t>
  </si>
  <si>
    <t>Nataniel</t>
  </si>
  <si>
    <t>Diemer</t>
  </si>
  <si>
    <t>Yance</t>
  </si>
  <si>
    <t>Wivell</t>
  </si>
  <si>
    <t>Pierson</t>
  </si>
  <si>
    <t>Ingledow</t>
  </si>
  <si>
    <t>Carolin</t>
  </si>
  <si>
    <t>Dunkirk</t>
  </si>
  <si>
    <t>Liam</t>
  </si>
  <si>
    <t>Azemar</t>
  </si>
  <si>
    <t>Alain</t>
  </si>
  <si>
    <t>McGing</t>
  </si>
  <si>
    <t>Drake</t>
  </si>
  <si>
    <t>Mannering</t>
  </si>
  <si>
    <t>Cullie</t>
  </si>
  <si>
    <t>Roskelley</t>
  </si>
  <si>
    <t>Saundra</t>
  </si>
  <si>
    <t>Ledwith</t>
  </si>
  <si>
    <t>Dall</t>
  </si>
  <si>
    <t>Gerger</t>
  </si>
  <si>
    <t>Braden</t>
  </si>
  <si>
    <t>Corish</t>
  </si>
  <si>
    <t>Enrique</t>
  </si>
  <si>
    <t>Matsell</t>
  </si>
  <si>
    <t>Joshuah</t>
  </si>
  <si>
    <t>Cridlin</t>
  </si>
  <si>
    <t>Jozef</t>
  </si>
  <si>
    <t>Gooday</t>
  </si>
  <si>
    <t>Corette</t>
  </si>
  <si>
    <t>Hayne</t>
  </si>
  <si>
    <t>Garry</t>
  </si>
  <si>
    <t>Hulkes</t>
  </si>
  <si>
    <t>Shem</t>
  </si>
  <si>
    <t>Elam</t>
  </si>
  <si>
    <t>Terry</t>
  </si>
  <si>
    <t>Vedenisov</t>
  </si>
  <si>
    <t>Zoe</t>
  </si>
  <si>
    <t>Amys</t>
  </si>
  <si>
    <t>Blaine</t>
  </si>
  <si>
    <t>Andersen</t>
  </si>
  <si>
    <t>Chicky</t>
  </si>
  <si>
    <t>Jolliff</t>
  </si>
  <si>
    <t>Kinnie</t>
  </si>
  <si>
    <t>Gallehawk</t>
  </si>
  <si>
    <t>Sybila</t>
  </si>
  <si>
    <t>Guerry</t>
  </si>
  <si>
    <t>Ivory</t>
  </si>
  <si>
    <t>Blackborough</t>
  </si>
  <si>
    <t>Dannie</t>
  </si>
  <si>
    <t>Flea</t>
  </si>
  <si>
    <t>Dukey</t>
  </si>
  <si>
    <t>Willatts</t>
  </si>
  <si>
    <t>Hendrika</t>
  </si>
  <si>
    <t>Sysland</t>
  </si>
  <si>
    <t>Hunt</t>
  </si>
  <si>
    <t>Klee</t>
  </si>
  <si>
    <t>Gorden</t>
  </si>
  <si>
    <t>Rucklidge</t>
  </si>
  <si>
    <t>Thorpe</t>
  </si>
  <si>
    <t>Teall</t>
  </si>
  <si>
    <t>Brandais</t>
  </si>
  <si>
    <t>Accum</t>
  </si>
  <si>
    <t>Ernesto</t>
  </si>
  <si>
    <t>Lancashire</t>
  </si>
  <si>
    <t>Jodi</t>
  </si>
  <si>
    <t>Rudiger</t>
  </si>
  <si>
    <t>Vera</t>
  </si>
  <si>
    <t>McGorley</t>
  </si>
  <si>
    <t>Carol</t>
  </si>
  <si>
    <t>Dalziell</t>
  </si>
  <si>
    <t>Taber</t>
  </si>
  <si>
    <t>Kupper</t>
  </si>
  <si>
    <t>Terrijo</t>
  </si>
  <si>
    <t>Guise</t>
  </si>
  <si>
    <t>Tobiah</t>
  </si>
  <si>
    <t>Claeskens</t>
  </si>
  <si>
    <t>Grantley</t>
  </si>
  <si>
    <t>Roux</t>
  </si>
  <si>
    <t>Whittaker</t>
  </si>
  <si>
    <t>Shipsey</t>
  </si>
  <si>
    <t>Augie</t>
  </si>
  <si>
    <t>Harkin</t>
  </si>
  <si>
    <t>Rriocard</t>
  </si>
  <si>
    <t>Shelp</t>
  </si>
  <si>
    <t>Chas</t>
  </si>
  <si>
    <t>Cacacie</t>
  </si>
  <si>
    <t>Karine</t>
  </si>
  <si>
    <t>Domange</t>
  </si>
  <si>
    <t>Lilian</t>
  </si>
  <si>
    <t>Maddison</t>
  </si>
  <si>
    <t>Honor</t>
  </si>
  <si>
    <t>Rosie</t>
  </si>
  <si>
    <t>Walden</t>
  </si>
  <si>
    <t>Handford</t>
  </si>
  <si>
    <t>Siward</t>
  </si>
  <si>
    <t>Hambribe</t>
  </si>
  <si>
    <t>Salomone</t>
  </si>
  <si>
    <t>Zorzi</t>
  </si>
  <si>
    <t>Kylen</t>
  </si>
  <si>
    <t>Matfield</t>
  </si>
  <si>
    <t>Arther</t>
  </si>
  <si>
    <t>Bromilow</t>
  </si>
  <si>
    <t>Clywd</t>
  </si>
  <si>
    <t>Cummins</t>
  </si>
  <si>
    <t>Kyle</t>
  </si>
  <si>
    <t>Hyndman</t>
  </si>
  <si>
    <t>Galvin</t>
  </si>
  <si>
    <t>Coudray</t>
  </si>
  <si>
    <t>Tersina</t>
  </si>
  <si>
    <t>Escofier</t>
  </si>
  <si>
    <t>Jasmina</t>
  </si>
  <si>
    <t>Clayal</t>
  </si>
  <si>
    <t>Yehudi</t>
  </si>
  <si>
    <t>Moultrie</t>
  </si>
  <si>
    <t>Rusty</t>
  </si>
  <si>
    <t>Pifford</t>
  </si>
  <si>
    <t>Suma</t>
  </si>
  <si>
    <t>Etykiety wierszy</t>
  </si>
  <si>
    <t>Suma końcowa</t>
  </si>
  <si>
    <t>Liczba z country</t>
  </si>
  <si>
    <t>Etykiety kolumn</t>
  </si>
  <si>
    <t>Riordan</t>
  </si>
  <si>
    <t>Ranyard</t>
  </si>
  <si>
    <t>Pauly</t>
  </si>
  <si>
    <t>Luckey</t>
  </si>
  <si>
    <t>Waylen</t>
  </si>
  <si>
    <t>Hast</t>
  </si>
  <si>
    <t>Emmye</t>
  </si>
  <si>
    <t>Kamen</t>
  </si>
  <si>
    <t>Michal</t>
  </si>
  <si>
    <t>Manis</t>
  </si>
  <si>
    <t>Yolane</t>
  </si>
  <si>
    <t>Loadman</t>
  </si>
  <si>
    <t>Sylvester</t>
  </si>
  <si>
    <t>Bark</t>
  </si>
  <si>
    <t>Maurie</t>
  </si>
  <si>
    <t>Tingley</t>
  </si>
  <si>
    <t>Camile</t>
  </si>
  <si>
    <t>McIlwrath</t>
  </si>
  <si>
    <t>Douglass</t>
  </si>
  <si>
    <t>Benettolo</t>
  </si>
  <si>
    <t>Gui</t>
  </si>
  <si>
    <t>Angove</t>
  </si>
  <si>
    <t>Daven</t>
  </si>
  <si>
    <t>Munnery</t>
  </si>
  <si>
    <t>Phyllys</t>
  </si>
  <si>
    <t>Gownge</t>
  </si>
  <si>
    <t>Thomasa</t>
  </si>
  <si>
    <t>Biasioli</t>
  </si>
  <si>
    <t>Hillie</t>
  </si>
  <si>
    <t>Durtnal</t>
  </si>
  <si>
    <t>Cordie</t>
  </si>
  <si>
    <t>Castiglio</t>
  </si>
  <si>
    <t>Kathrine</t>
  </si>
  <si>
    <t>Doxey</t>
  </si>
  <si>
    <t>Rodolphe</t>
  </si>
  <si>
    <t>Ruddin</t>
  </si>
  <si>
    <t>Blanch</t>
  </si>
  <si>
    <t>Vasile</t>
  </si>
  <si>
    <t>Herman</t>
  </si>
  <si>
    <t>Foster</t>
  </si>
  <si>
    <t>Lancelot</t>
  </si>
  <si>
    <t>Borge</t>
  </si>
  <si>
    <t>Xylia</t>
  </si>
  <si>
    <t>Ogden</t>
  </si>
  <si>
    <t>Seth</t>
  </si>
  <si>
    <t>Maiga</t>
  </si>
  <si>
    <t>McKeady</t>
  </si>
  <si>
    <t>Salomi</t>
  </si>
  <si>
    <t>Beneix</t>
  </si>
  <si>
    <t>Diarmid</t>
  </si>
  <si>
    <t>Tabert</t>
  </si>
  <si>
    <t>Salvatore</t>
  </si>
  <si>
    <t>Benoix</t>
  </si>
  <si>
    <t>Yovonnda</t>
  </si>
  <si>
    <t>Rogge</t>
  </si>
  <si>
    <t>Daisy</t>
  </si>
  <si>
    <t>Benian</t>
  </si>
  <si>
    <t>Harris</t>
  </si>
  <si>
    <t>Rihosek</t>
  </si>
  <si>
    <t>Kiel</t>
  </si>
  <si>
    <t>Fidal</t>
  </si>
  <si>
    <t>Basil</t>
  </si>
  <si>
    <t>Guerreiro</t>
  </si>
  <si>
    <t>Jeniece</t>
  </si>
  <si>
    <t>Guisler</t>
  </si>
  <si>
    <t>Roxanne</t>
  </si>
  <si>
    <t>Landrieu</t>
  </si>
  <si>
    <t>Vikki</t>
  </si>
  <si>
    <t>Quelch</t>
  </si>
  <si>
    <t>Luce</t>
  </si>
  <si>
    <t>Lidgate</t>
  </si>
  <si>
    <t>Idette</t>
  </si>
  <si>
    <t>Feldfisher</t>
  </si>
  <si>
    <t>Stearne</t>
  </si>
  <si>
    <t>Learmond</t>
  </si>
  <si>
    <t>Lori</t>
  </si>
  <si>
    <t>De Filippis</t>
  </si>
  <si>
    <t>Langsdon</t>
  </si>
  <si>
    <t>Habard</t>
  </si>
  <si>
    <t>Huey</t>
  </si>
  <si>
    <t>Sloane</t>
  </si>
  <si>
    <t>Cicely</t>
  </si>
  <si>
    <t>Branscombe</t>
  </si>
  <si>
    <t>Hakeem</t>
  </si>
  <si>
    <t>Filip</t>
  </si>
  <si>
    <t>Beverlie</t>
  </si>
  <si>
    <t>Babe</t>
  </si>
  <si>
    <t>Muhammad</t>
  </si>
  <si>
    <t>Wade</t>
  </si>
  <si>
    <t>Cathryn</t>
  </si>
  <si>
    <t>Glynn</t>
  </si>
  <si>
    <t>Dianne</t>
  </si>
  <si>
    <t>Dightham</t>
  </si>
  <si>
    <t>Garfield</t>
  </si>
  <si>
    <t>Folds</t>
  </si>
  <si>
    <t>Emily</t>
  </si>
  <si>
    <t>Winterton</t>
  </si>
  <si>
    <t>Lanette</t>
  </si>
  <si>
    <t>Barfield</t>
  </si>
  <si>
    <t>Fairlie</t>
  </si>
  <si>
    <t>Tromans</t>
  </si>
  <si>
    <t>Brigg</t>
  </si>
  <si>
    <t>Luney</t>
  </si>
  <si>
    <t>Kathe</t>
  </si>
  <si>
    <t>Burriss</t>
  </si>
  <si>
    <t>Shea</t>
  </si>
  <si>
    <t>Byles</t>
  </si>
  <si>
    <t>Piggy</t>
  </si>
  <si>
    <t>Pryer</t>
  </si>
  <si>
    <t>Humberto</t>
  </si>
  <si>
    <t>Vernalls</t>
  </si>
  <si>
    <t>Cary</t>
  </si>
  <si>
    <t>Fittis</t>
  </si>
  <si>
    <t>Janice</t>
  </si>
  <si>
    <t>Holburn</t>
  </si>
  <si>
    <t>Trefor</t>
  </si>
  <si>
    <t>Dallon</t>
  </si>
  <si>
    <t>Isadora</t>
  </si>
  <si>
    <t>Narbett</t>
  </si>
  <si>
    <t>Zeke</t>
  </si>
  <si>
    <t>MacGhee</t>
  </si>
  <si>
    <t>Chiquia</t>
  </si>
  <si>
    <t>Hattoe</t>
  </si>
  <si>
    <t>Henri</t>
  </si>
  <si>
    <t>Bason</t>
  </si>
  <si>
    <t>Michaela</t>
  </si>
  <si>
    <t>Bigglestone</t>
  </si>
  <si>
    <t>Star</t>
  </si>
  <si>
    <t>Dieton</t>
  </si>
  <si>
    <t>Ronna</t>
  </si>
  <si>
    <t>Baraja</t>
  </si>
  <si>
    <t>Hazlett</t>
  </si>
  <si>
    <t>Coultar</t>
  </si>
  <si>
    <t>Morganne</t>
  </si>
  <si>
    <t>Boller</t>
  </si>
  <si>
    <t>Francis</t>
  </si>
  <si>
    <t>Josefer</t>
  </si>
  <si>
    <t>Woodie</t>
  </si>
  <si>
    <t>Spraberry</t>
  </si>
  <si>
    <t>Letitia</t>
  </si>
  <si>
    <t>Koba</t>
  </si>
  <si>
    <t>Ross</t>
  </si>
  <si>
    <t>Warner</t>
  </si>
  <si>
    <t>Iorgo</t>
  </si>
  <si>
    <t>Roistone</t>
  </si>
  <si>
    <t>Melva</t>
  </si>
  <si>
    <t>McKibbin</t>
  </si>
  <si>
    <t>Sky</t>
  </si>
  <si>
    <t>Copping</t>
  </si>
  <si>
    <t>Rooney</t>
  </si>
  <si>
    <t>Will</t>
  </si>
  <si>
    <t>Doralia</t>
  </si>
  <si>
    <t>Parmiter</t>
  </si>
  <si>
    <t>Cory</t>
  </si>
  <si>
    <t>Grzelczyk</t>
  </si>
  <si>
    <t>Law</t>
  </si>
  <si>
    <t>Cohen</t>
  </si>
  <si>
    <t>Farly</t>
  </si>
  <si>
    <t>Dorant</t>
  </si>
  <si>
    <t>Dietrich</t>
  </si>
  <si>
    <t>Stoyle</t>
  </si>
  <si>
    <t>Bealle</t>
  </si>
  <si>
    <t>Enric</t>
  </si>
  <si>
    <t>Horatius</t>
  </si>
  <si>
    <t>Juana</t>
  </si>
  <si>
    <t>Prest</t>
  </si>
  <si>
    <t>Mattheus</t>
  </si>
  <si>
    <t>Leither</t>
  </si>
  <si>
    <t>Starlene</t>
  </si>
  <si>
    <t>Habbema</t>
  </si>
  <si>
    <t>Lalo</t>
  </si>
  <si>
    <t>Slowly</t>
  </si>
  <si>
    <t>Clive</t>
  </si>
  <si>
    <t>Pepin</t>
  </si>
  <si>
    <t>Orson</t>
  </si>
  <si>
    <t>Dykas</t>
  </si>
  <si>
    <t>Lorette</t>
  </si>
  <si>
    <t>Crain</t>
  </si>
  <si>
    <t>Janean</t>
  </si>
  <si>
    <t>Linn</t>
  </si>
  <si>
    <t>Selena</t>
  </si>
  <si>
    <t>Gilkes</t>
  </si>
  <si>
    <t>Doria</t>
  </si>
  <si>
    <t>Prangley</t>
  </si>
  <si>
    <t>Thorvald</t>
  </si>
  <si>
    <t>Darinton</t>
  </si>
  <si>
    <t>Lorry</t>
  </si>
  <si>
    <t>Burles</t>
  </si>
  <si>
    <t>Masha</t>
  </si>
  <si>
    <t>Camble</t>
  </si>
  <si>
    <t>Kaylyn</t>
  </si>
  <si>
    <t>Simmings</t>
  </si>
  <si>
    <t>Heddi</t>
  </si>
  <si>
    <t>Wanklin</t>
  </si>
  <si>
    <t>Osbourn</t>
  </si>
  <si>
    <t>Conman</t>
  </si>
  <si>
    <t>Hi</t>
  </si>
  <si>
    <t>Peaseman</t>
  </si>
  <si>
    <t>BMI</t>
  </si>
  <si>
    <t>Liczba z gender</t>
  </si>
  <si>
    <t>Maksimum z height</t>
  </si>
  <si>
    <t>Średnia z BMI</t>
  </si>
  <si>
    <t>Liczba z BMI</t>
  </si>
  <si>
    <t>Średnia z wage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</si>
</sst>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Arial"/>
      <family val="1"/>
    </font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2">
    <cellStyle name="Normal" xfId="1" xr:uid="{00000000-0005-0000-0000-000000000000}"/>
    <cellStyle name="Normalny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[medical-data.xlsx]data_women_men!Tabela przestawna2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51205504-BB51-4DE1-A747-EB8CAD5ACAC5}" type="VALUE">
                  <a:rPr lang="en-US" sz="120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[WARTOŚĆ]</a:t>
                </a:fld>
                <a:endParaRPr lang="pl-P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7.2555555555555554E-2"/>
                  <c:h val="0.12956036745406824"/>
                </c:manualLayout>
              </c15:layout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CD612961-8A9A-4E4D-AB57-CC7B736FFC4D}" type="VALUE">
                  <a:rPr lang="en-US" sz="1200">
                    <a:solidFill>
                      <a:schemeClr val="bg1"/>
                    </a:solidFill>
                  </a:rPr>
                  <a:pPr>
                    <a:defRPr>
                      <a:solidFill>
                        <a:schemeClr val="bg1"/>
                      </a:solidFill>
                    </a:defRPr>
                  </a:pPr>
                  <a:t>[WARTOŚĆ]</a:t>
                </a:fld>
                <a:endParaRPr lang="pl-P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data_women_men!$B$3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07-480C-B820-B1EB4B8FE4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407-480C-B820-B1EB4B8FE42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612961-8A9A-4E4D-AB57-CC7B736FFC4D}" type="VALUE">
                      <a:rPr lang="en-US" sz="1200">
                        <a:solidFill>
                          <a:schemeClr val="bg1"/>
                        </a:solidFill>
                      </a:rPr>
                      <a:pPr/>
                      <a:t>[WARTOŚĆ]</a:t>
                    </a:fld>
                    <a:endParaRPr lang="pl-PL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3407-480C-B820-B1EB4B8FE421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1205504-BB51-4DE1-A747-EB8CAD5ACAC5}" type="VALUE">
                      <a:rPr lang="en-US" sz="120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[WARTOŚĆ]</a:t>
                    </a:fld>
                    <a:endParaRPr lang="pl-PL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555555555555554E-2"/>
                      <c:h val="0.1295603674540682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407-480C-B820-B1EB4B8FE4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data_women_men!$A$4:$A$6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data_women_men!$B$4:$B$6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7-480C-B820-B1EB4B8FE4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[medical-data.xlsx]data_country!Tabela przestawna4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data_country!$B$3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data_country!$A$4:$A$8</c:f>
              <c:strCache>
                <c:ptCount val="4"/>
                <c:pt idx="0">
                  <c:v>Germany</c:v>
                </c:pt>
                <c:pt idx="1">
                  <c:v>Hungary</c:v>
                </c:pt>
                <c:pt idx="2">
                  <c:v>Poland</c:v>
                </c:pt>
                <c:pt idx="3">
                  <c:v>Slovakia</c:v>
                </c:pt>
              </c:strCache>
            </c:strRef>
          </c:cat>
          <c:val>
            <c:numRef>
              <c:f>data_country!$B$4:$B$8</c:f>
              <c:numCache>
                <c:formatCode>General</c:formatCode>
                <c:ptCount val="4"/>
                <c:pt idx="0">
                  <c:v>36</c:v>
                </c:pt>
                <c:pt idx="1">
                  <c:v>20</c:v>
                </c:pt>
                <c:pt idx="2">
                  <c:v>21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F-4154-A2C5-8C098C60C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44672"/>
        <c:axId val="2014736032"/>
      </c:barChart>
      <c:catAx>
        <c:axId val="201474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36032"/>
        <c:crosses val="autoZero"/>
        <c:auto val="1"/>
        <c:lblAlgn val="ctr"/>
        <c:lblOffset val="100"/>
        <c:noMultiLvlLbl val="0"/>
      </c:catAx>
      <c:valAx>
        <c:axId val="201473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4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[medical-data.xlsx]data_tallest_country!Tabela przestawna5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data_tallest_country!$B$3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data_tallest_country!$A$4:$A$7</c:f>
              <c:strCache>
                <c:ptCount val="4"/>
                <c:pt idx="0">
                  <c:v>Germany</c:v>
                </c:pt>
                <c:pt idx="1">
                  <c:v>Hungary</c:v>
                </c:pt>
                <c:pt idx="2">
                  <c:v>Poland</c:v>
                </c:pt>
                <c:pt idx="3">
                  <c:v>Slovakia</c:v>
                </c:pt>
              </c:strCache>
            </c:strRef>
          </c:cat>
          <c:val>
            <c:numRef>
              <c:f>data_tallest_country!$B$4:$B$7</c:f>
              <c:numCache>
                <c:formatCode>General</c:formatCode>
                <c:ptCount val="4"/>
                <c:pt idx="0">
                  <c:v>197</c:v>
                </c:pt>
                <c:pt idx="1">
                  <c:v>197</c:v>
                </c:pt>
                <c:pt idx="2">
                  <c:v>196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B-420C-A721-5EE5D3C40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4755712"/>
        <c:axId val="2014738432"/>
      </c:barChart>
      <c:catAx>
        <c:axId val="201475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38432"/>
        <c:crosses val="autoZero"/>
        <c:auto val="1"/>
        <c:lblAlgn val="ctr"/>
        <c:lblOffset val="100"/>
        <c:noMultiLvlLbl val="0"/>
      </c:catAx>
      <c:valAx>
        <c:axId val="201473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[medical-data.xlsx]data_avg_bmi!Tabela przestawna6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data_avg_bmi!$B$3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data_avg_bmi!$A$4:$A$7</c:f>
              <c:strCache>
                <c:ptCount val="4"/>
                <c:pt idx="0">
                  <c:v>Germany</c:v>
                </c:pt>
                <c:pt idx="1">
                  <c:v>Hungary</c:v>
                </c:pt>
                <c:pt idx="2">
                  <c:v>Poland</c:v>
                </c:pt>
                <c:pt idx="3">
                  <c:v>Slovakia</c:v>
                </c:pt>
              </c:strCache>
            </c:strRef>
          </c:cat>
          <c:val>
            <c:numRef>
              <c:f>data_avg_bmi!$B$4:$B$7</c:f>
              <c:numCache>
                <c:formatCode>0.0</c:formatCode>
                <c:ptCount val="4"/>
                <c:pt idx="0">
                  <c:v>28.911111111111115</c:v>
                </c:pt>
                <c:pt idx="1">
                  <c:v>29.52</c:v>
                </c:pt>
                <c:pt idx="2">
                  <c:v>27.761904761904756</c:v>
                </c:pt>
                <c:pt idx="3">
                  <c:v>28.913043478260871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A-422C-84AA-3B670AFC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50912"/>
        <c:axId val="2014752352"/>
      </c:barChart>
      <c:catAx>
        <c:axId val="201475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52352"/>
        <c:crosses val="autoZero"/>
        <c:auto val="1"/>
        <c:lblAlgn val="ctr"/>
        <c:lblOffset val="100"/>
        <c:noMultiLvlLbl val="0"/>
      </c:catAx>
      <c:valAx>
        <c:axId val="20147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[medical-data.xlsx]data_normal_bmi!Tabela przestawna7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data_normal_bmi!$B$4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data_normal_bmi!$A$5:$A$9</c:f>
              <c:strCache>
                <c:ptCount val="4"/>
                <c:pt idx="0">
                  <c:v>Germany</c:v>
                </c:pt>
                <c:pt idx="1">
                  <c:v>Hungary</c:v>
                </c:pt>
                <c:pt idx="2">
                  <c:v>Poland</c:v>
                </c:pt>
                <c:pt idx="3">
                  <c:v>Slovakia</c:v>
                </c:pt>
              </c:strCache>
            </c:strRef>
          </c:cat>
          <c:val>
            <c:numRef>
              <c:f>data_normal_bmi!$B$5:$B$9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6-433F-889A-A0BA88FB5C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[medical-data.xlsx]data_avg_weight_poland_slovakia!Tabela przestawna8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data_avg_weight_poland_slovakia!$B$3:$B$4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data_avg_weight_poland_slovakia!$A$5:$A$6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data_avg_weight_poland_slovakia!$B$5:$B$6</c:f>
              <c:numCache>
                <c:formatCode>0.0</c:formatCode>
                <c:ptCount val="2"/>
                <c:pt idx="0">
                  <c:v>86.125</c:v>
                </c:pt>
                <c:pt idx="1">
                  <c:v>89.05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A-42E0-8FF1-2E6493CD46A7}"/>
            </c:ext>
          </c:extLst>
        </c:ser>
        <c:ser>
          <c:idx val="1"/>
          <c:order val="1"/>
          <c:tx>
            <c:strRef>
              <c:f>data_avg_weight_poland_slovakia!$C$3:$C$4</c:f>
              <c:strCache>
                <c:ptCount val="1"/>
                <c:pt idx="0">
                  <c:v>Hungary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data_avg_weight_poland_slovakia!$A$5:$A$6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data_avg_weight_poland_slovakia!$C$5:$C$6</c:f>
              <c:numCache>
                <c:formatCode>0.0</c:formatCode>
                <c:ptCount val="2"/>
                <c:pt idx="0">
                  <c:v>90.857142857142861</c:v>
                </c:pt>
                <c:pt idx="1">
                  <c:v>86.461538461538467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3A-42E0-8FF1-2E6493CD46A7}"/>
            </c:ext>
          </c:extLst>
        </c:ser>
        <c:ser>
          <c:idx val="2"/>
          <c:order val="2"/>
          <c:tx>
            <c:strRef>
              <c:f>data_avg_weight_poland_slovakia!$D$3:$D$4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data_avg_weight_poland_slovakia!$A$5:$A$6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data_avg_weight_poland_slovakia!$D$5:$D$6</c:f>
              <c:numCache>
                <c:formatCode>0.0</c:formatCode>
                <c:ptCount val="2"/>
                <c:pt idx="0">
                  <c:v>83.666666666666671</c:v>
                </c:pt>
                <c:pt idx="1">
                  <c:v>82.916666666666671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3A-42E0-8FF1-2E6493CD46A7}"/>
            </c:ext>
          </c:extLst>
        </c:ser>
        <c:ser>
          <c:idx val="3"/>
          <c:order val="3"/>
          <c:tx>
            <c:strRef>
              <c:f>data_avg_weight_poland_slovakia!$E$3:$E$4</c:f>
              <c:strCache>
                <c:ptCount val="1"/>
                <c:pt idx="0">
                  <c:v>Slovakia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data_avg_weight_poland_slovakia!$A$5:$A$6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data_avg_weight_poland_slovakia!$E$5:$E$6</c:f>
              <c:numCache>
                <c:formatCode>0.0</c:formatCode>
                <c:ptCount val="2"/>
                <c:pt idx="0">
                  <c:v>81.583333333333329</c:v>
                </c:pt>
                <c:pt idx="1">
                  <c:v>92.909090909090907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3A-42E0-8FF1-2E6493CD4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784032"/>
        <c:axId val="2014779232"/>
      </c:barChart>
      <c:catAx>
        <c:axId val="201478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79232"/>
        <c:crosses val="autoZero"/>
        <c:auto val="1"/>
        <c:lblAlgn val="ctr"/>
        <c:lblOffset val="100"/>
        <c:noMultiLvlLbl val="0"/>
      </c:catAx>
      <c:valAx>
        <c:axId val="20147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478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366712</xdr:colOff>
      <xdr:row>12</xdr:row>
      <xdr:rowOff>19050</xdr:rowOff>
    </xdr:from>
    <xdr:to>
      <xdr:col>19</xdr:col>
      <xdr:colOff>23812</xdr:colOff>
      <xdr:row>27</xdr:row>
      <xdr:rowOff>47625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D7ED6698-434C-E2E9-CEF9-812F19C47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</xdr:colOff>
      <xdr:row>12</xdr:row>
      <xdr:rowOff>19050</xdr:rowOff>
    </xdr:from>
    <xdr:to>
      <xdr:col>11</xdr:col>
      <xdr:colOff>547687</xdr:colOff>
      <xdr:row>27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7BDAD06-B42D-C088-D6F0-344EEF5E6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176212</xdr:colOff>
      <xdr:row>12</xdr:row>
      <xdr:rowOff>19050</xdr:rowOff>
    </xdr:from>
    <xdr:to>
      <xdr:col>24</xdr:col>
      <xdr:colOff>23812</xdr:colOff>
      <xdr:row>27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00031EA-FBC7-15A4-B264-4F9847BDE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12</xdr:row>
      <xdr:rowOff>19050</xdr:rowOff>
    </xdr:from>
    <xdr:to>
      <xdr:col>12</xdr:col>
      <xdr:colOff>14287</xdr:colOff>
      <xdr:row>27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268AD61-E8E3-9FFC-5646-B3AFF57CE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195262</xdr:colOff>
      <xdr:row>11</xdr:row>
      <xdr:rowOff>133350</xdr:rowOff>
    </xdr:from>
    <xdr:to>
      <xdr:col>21</xdr:col>
      <xdr:colOff>247650</xdr:colOff>
      <xdr:row>29</xdr:row>
      <xdr:rowOff>171450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2601444-F7B9-C26F-93FA-2C11DF42F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242887</xdr:colOff>
      <xdr:row>12</xdr:row>
      <xdr:rowOff>19050</xdr:rowOff>
    </xdr:from>
    <xdr:to>
      <xdr:col>11</xdr:col>
      <xdr:colOff>309562</xdr:colOff>
      <xdr:row>27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ECDD707-055E-63D6-89D5-350B9FA66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SetupInstall" refreshedDate="46108.382475694445" createdVersion="8" refreshedVersion="8" minRefreshableVersion="3" recordCount="100" xr:uid="{F5B9370B-BCC9-42CF-A11D-B5328D5D5252}">
  <cacheSource type="worksheet">
    <worksheetSource name="Tabela1"/>
  </cacheSource>
  <cacheFields count="8">
    <cacheField name="first_name" numFmtId="0">
      <sharedItems count="100">
        <s v="Skip"/>
        <s v="Johanna"/>
        <s v="Mickie"/>
        <s v="Pooh"/>
        <s v="Carmella"/>
        <s v="Lindi"/>
        <s v="Kyle"/>
        <s v="Johannes"/>
        <s v="Cam"/>
        <s v="Vonny"/>
        <s v="Ermina"/>
        <s v="Bear"/>
        <s v="Zoe"/>
        <s v="Briney"/>
        <s v="Brandais"/>
        <s v="Cristi"/>
        <s v="Patricia"/>
        <s v="Yoko"/>
        <s v="Phillis"/>
        <s v="Madlen"/>
        <s v="Terrijo"/>
        <s v="Lilian"/>
        <s v="Basilius"/>
        <s v="Skelly"/>
        <s v="Sax"/>
        <s v="Dion"/>
        <s v="Albertina"/>
        <s v="Austina"/>
        <s v="Salomone"/>
        <s v="Wilona"/>
        <s v="Jule"/>
        <s v="Kylen"/>
        <s v="Winfield"/>
        <s v="Demetrius"/>
        <s v="Jorie"/>
        <s v="Lettie"/>
        <s v="Erhart"/>
        <s v="Wolfy"/>
        <s v="Christie"/>
        <s v="Rusty"/>
        <s v="Saundra"/>
        <s v="Sunny"/>
        <s v="Nataniel"/>
        <s v="Yance"/>
        <s v="Pierson"/>
        <s v="Carolin"/>
        <s v="Liam"/>
        <s v="Alain"/>
        <s v="Drake"/>
        <s v="Cullie"/>
        <s v="Zonda"/>
        <s v="Dall"/>
        <s v="Braden"/>
        <s v="Enrique"/>
        <s v="Joshuah"/>
        <s v="Jozef"/>
        <s v="Corette"/>
        <s v="Garry"/>
        <s v="Shem"/>
        <s v="Terry"/>
        <s v="Clywd"/>
        <s v="Blaine"/>
        <s v="Joya"/>
        <s v="Kinnie"/>
        <s v="Cathrine"/>
        <s v="Ivory"/>
        <s v="Dannie"/>
        <s v="Dukey"/>
        <s v="Hendrika"/>
        <s v="Hunt"/>
        <s v="Gorden"/>
        <s v="Thorpe"/>
        <s v="Lorie"/>
        <s v="Tobiah"/>
        <s v="Jodi"/>
        <s v="Vera"/>
        <s v="Carol"/>
        <s v="Taber"/>
        <s v="Siward"/>
        <s v="Wendell"/>
        <s v="Grantley"/>
        <s v="Ernesto"/>
        <s v="Augie"/>
        <s v="Rriocard"/>
        <s v="Chas"/>
        <s v="Karine"/>
        <s v="Arther"/>
        <s v="Honor"/>
        <s v="Walden"/>
        <s v="Janifer"/>
        <s v="Chicky"/>
        <s v="Sybila"/>
        <s v="Em"/>
        <s v="Ariana"/>
        <s v="Bailie"/>
        <s v="Galvin"/>
        <s v="Tersina"/>
        <s v="Jasmina"/>
        <s v="Yehudi"/>
        <s v="Whittaker"/>
      </sharedItems>
    </cacheField>
    <cacheField name="last_name" numFmtId="0">
      <sharedItems count="100">
        <s v="Ingleton"/>
        <s v="Van Baaren"/>
        <s v="O'Leagham"/>
        <s v="Tomaszewski"/>
        <s v="Sawdon"/>
        <s v="Valentelli"/>
        <s v="Hyndman"/>
        <s v="Davidai"/>
        <s v="Ferrey"/>
        <s v="Wrey"/>
        <s v="Chillingsworth"/>
        <s v="Enterle"/>
        <s v="Amys"/>
        <s v="Zottoli"/>
        <s v="Accum"/>
        <s v="Crush"/>
        <s v="Bloxam"/>
        <s v="Rangall"/>
        <s v="Armes"/>
        <s v="Crumbleholme"/>
        <s v="Guise"/>
        <s v="Maddison"/>
        <s v="Shatliff"/>
        <s v="Colmore"/>
        <s v="Baswall"/>
        <s v="Maryon"/>
        <s v="Siviour"/>
        <s v="Croney"/>
        <s v="Zorzi"/>
        <s v="Trouel"/>
        <s v="Sulland"/>
        <s v="Matfield"/>
        <s v="Fenn"/>
        <s v="Philipp"/>
        <s v="Meegan"/>
        <s v="Hearmon"/>
        <s v="Meriot"/>
        <s v="Quigg"/>
        <s v="Ritchings"/>
        <s v="Pifford"/>
        <s v="Ledwith"/>
        <s v="Levin"/>
        <s v="Diemer"/>
        <s v="Wivell"/>
        <s v="Ingledow"/>
        <s v="Dunkirk"/>
        <s v="Azemar"/>
        <s v="McGing"/>
        <s v="Mannering"/>
        <s v="Roskelley"/>
        <s v="Tetford"/>
        <s v="Gerger"/>
        <s v="Corish"/>
        <s v="Matsell"/>
        <s v="Cridlin"/>
        <s v="Gooday"/>
        <s v="Hayne"/>
        <s v="Hulkes"/>
        <s v="Elam"/>
        <s v="Vedenisov"/>
        <s v="Cummins"/>
        <s v="Andersen"/>
        <s v="Dallicott"/>
        <s v="Gallehawk"/>
        <s v="Allso"/>
        <s v="Blackborough"/>
        <s v="Flea"/>
        <s v="Willatts"/>
        <s v="Sysland"/>
        <s v="Klee"/>
        <s v="Rucklidge"/>
        <s v="Teall"/>
        <s v="Yurivtsev"/>
        <s v="Claeskens"/>
        <s v="Rudiger"/>
        <s v="McGorley"/>
        <s v="Dalziell"/>
        <s v="Kupper"/>
        <s v="Hambribe"/>
        <s v="Leadbitter"/>
        <s v="Roux"/>
        <s v="Lancashire"/>
        <s v="Harkin"/>
        <s v="Shelp"/>
        <s v="Cacacie"/>
        <s v="Domange"/>
        <s v="Bromilow"/>
        <s v="Rosie"/>
        <s v="Handford"/>
        <s v="Tann"/>
        <s v="Jolliff"/>
        <s v="Guerry"/>
        <s v="Mathews"/>
        <s v="Tampin"/>
        <s v="Marzelli"/>
        <s v="Coudray"/>
        <s v="Escofier"/>
        <s v="Clayal"/>
        <s v="Moultrie"/>
        <s v="Shipsey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0"/>
    </cacheField>
    <cacheField name="height" numFmtId="0">
      <sharedItems containsSemiMixedTypes="0" containsString="0" containsNumber="1" containsInteger="1" minValue="155" maxValue="197" count="38">
        <n v="197"/>
        <n v="188"/>
        <n v="155"/>
        <n v="159"/>
        <n v="175"/>
        <n v="190"/>
        <n v="171"/>
        <n v="164"/>
        <n v="163"/>
        <n v="182"/>
        <n v="168"/>
        <n v="189"/>
        <n v="183"/>
        <n v="160"/>
        <n v="187"/>
        <n v="161"/>
        <n v="186"/>
        <n v="185"/>
        <n v="158"/>
        <n v="180"/>
        <n v="165"/>
        <n v="166"/>
        <n v="196"/>
        <n v="195"/>
        <n v="179"/>
        <n v="178"/>
        <n v="184"/>
        <n v="172"/>
        <n v="176"/>
        <n v="173"/>
        <n v="157"/>
        <n v="156"/>
        <n v="194"/>
        <n v="174"/>
        <n v="193"/>
        <n v="169"/>
        <n v="181"/>
        <n v="192"/>
      </sharedItems>
    </cacheField>
    <cacheField name="wage" numFmtId="0">
      <sharedItems containsSemiMixedTypes="0" containsString="0" containsNumber="1" containsInteger="1" minValue="50" maxValue="120" count="56">
        <n v="109"/>
        <n v="115"/>
        <n v="50"/>
        <n v="81"/>
        <n v="74"/>
        <n v="104"/>
        <n v="54"/>
        <n v="117"/>
        <n v="86"/>
        <n v="51"/>
        <n v="78"/>
        <n v="101"/>
        <n v="66"/>
        <n v="119"/>
        <n v="108"/>
        <n v="105"/>
        <n v="57"/>
        <n v="88"/>
        <n v="82"/>
        <n v="84"/>
        <n v="113"/>
        <n v="111"/>
        <n v="52"/>
        <n v="62"/>
        <n v="90"/>
        <n v="91"/>
        <n v="60"/>
        <n v="55"/>
        <n v="73"/>
        <n v="93"/>
        <n v="68"/>
        <n v="95"/>
        <n v="58"/>
        <n v="114"/>
        <n v="65"/>
        <n v="89"/>
        <n v="112"/>
        <n v="80"/>
        <n v="63"/>
        <n v="102"/>
        <n v="77"/>
        <n v="67"/>
        <n v="116"/>
        <n v="92"/>
        <n v="107"/>
        <n v="103"/>
        <n v="64"/>
        <n v="100"/>
        <n v="70"/>
        <n v="87"/>
        <n v="120"/>
        <n v="75"/>
        <n v="76"/>
        <n v="69"/>
        <n v="94"/>
        <n v="110"/>
      </sharedItems>
    </cacheField>
    <cacheField name="country" numFmtId="0">
      <sharedItems count="4">
        <s v="Germany"/>
        <s v="Poland"/>
        <s v="Hungary"/>
        <s v="Slovakia"/>
      </sharedItems>
    </cacheField>
    <cacheField name="BMI" numFmtId="0">
      <sharedItems containsSemiMixedTypes="0" containsString="0" containsNumber="1" minValue="13.3" maxValue="47.7" count="84">
        <n v="28.1"/>
        <n v="32.5"/>
        <n v="20.8"/>
        <n v="20.9"/>
        <n v="29.3"/>
        <n v="34"/>
        <n v="22.4"/>
        <n v="18.5"/>
        <n v="43.5"/>
        <n v="32.4"/>
        <n v="15.4"/>
        <n v="27.6"/>
        <n v="28.3"/>
        <n v="17"/>
        <n v="33.299999999999997"/>
        <n v="32.200000000000003"/>
        <n v="41"/>
        <n v="21.5"/>
        <n v="25.2"/>
        <n v="31.6"/>
        <n v="24"/>
        <n v="23.2"/>
        <n v="30.1"/>
        <n v="44.1"/>
        <n v="25.1"/>
        <n v="42.1"/>
        <n v="34.299999999999997"/>
        <n v="19.100000000000001"/>
        <n v="18.100000000000001"/>
        <n v="32.700000000000003"/>
        <n v="14.1"/>
        <n v="26.6"/>
        <n v="23.3"/>
        <n v="22.3"/>
        <n v="16.600000000000001"/>
        <n v="29.2"/>
        <n v="29.7"/>
        <n v="34.6"/>
        <n v="21"/>
        <n v="28.4"/>
        <n v="32.799999999999997"/>
        <n v="17.399999999999999"/>
        <n v="19.600000000000001"/>
        <n v="21.6"/>
        <n v="13.3"/>
        <n v="34.9"/>
        <n v="34.700000000000003"/>
        <n v="41.9"/>
        <n v="38.4"/>
        <n v="23.9"/>
        <n v="45"/>
        <n v="31.2"/>
        <n v="32.1"/>
        <n v="35.299999999999997"/>
        <n v="25.3"/>
        <n v="21.3"/>
        <n v="25.4"/>
        <n v="22.1"/>
        <n v="42.6"/>
        <n v="30.7"/>
        <n v="28.7"/>
        <n v="17.8"/>
        <n v="22.6"/>
        <n v="42.3"/>
        <n v="16.100000000000001"/>
        <n v="33.1"/>
        <n v="26.3"/>
        <n v="47.7"/>
        <n v="28"/>
        <n v="33.4"/>
        <n v="31.5"/>
        <n v="24.5"/>
        <n v="30.5"/>
        <n v="31.9"/>
        <n v="17.600000000000001"/>
        <n v="32.299999999999997"/>
        <n v="28.9"/>
        <n v="40"/>
        <n v="37.299999999999997"/>
        <n v="35.700000000000003"/>
        <n v="26"/>
        <n v="27.7"/>
        <n v="47.5"/>
        <n v="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39"/>
    <x v="0"/>
    <x v="0"/>
    <x v="0"/>
    <x v="0"/>
  </r>
  <r>
    <x v="1"/>
    <x v="1"/>
    <x v="1"/>
    <n v="33"/>
    <x v="1"/>
    <x v="1"/>
    <x v="1"/>
    <x v="1"/>
  </r>
  <r>
    <x v="2"/>
    <x v="2"/>
    <x v="0"/>
    <n v="21"/>
    <x v="2"/>
    <x v="2"/>
    <x v="2"/>
    <x v="2"/>
  </r>
  <r>
    <x v="3"/>
    <x v="3"/>
    <x v="1"/>
    <n v="56"/>
    <x v="0"/>
    <x v="3"/>
    <x v="0"/>
    <x v="3"/>
  </r>
  <r>
    <x v="4"/>
    <x v="4"/>
    <x v="1"/>
    <n v="50"/>
    <x v="3"/>
    <x v="4"/>
    <x v="3"/>
    <x v="4"/>
  </r>
  <r>
    <x v="5"/>
    <x v="5"/>
    <x v="1"/>
    <n v="52"/>
    <x v="4"/>
    <x v="5"/>
    <x v="2"/>
    <x v="5"/>
  </r>
  <r>
    <x v="6"/>
    <x v="6"/>
    <x v="0"/>
    <n v="43"/>
    <x v="5"/>
    <x v="3"/>
    <x v="0"/>
    <x v="6"/>
  </r>
  <r>
    <x v="7"/>
    <x v="7"/>
    <x v="0"/>
    <n v="59"/>
    <x v="6"/>
    <x v="6"/>
    <x v="1"/>
    <x v="7"/>
  </r>
  <r>
    <x v="8"/>
    <x v="8"/>
    <x v="0"/>
    <n v="46"/>
    <x v="7"/>
    <x v="7"/>
    <x v="3"/>
    <x v="8"/>
  </r>
  <r>
    <x v="9"/>
    <x v="9"/>
    <x v="1"/>
    <n v="52"/>
    <x v="8"/>
    <x v="8"/>
    <x v="1"/>
    <x v="9"/>
  </r>
  <r>
    <x v="10"/>
    <x v="10"/>
    <x v="1"/>
    <n v="26"/>
    <x v="9"/>
    <x v="9"/>
    <x v="3"/>
    <x v="10"/>
  </r>
  <r>
    <x v="11"/>
    <x v="11"/>
    <x v="0"/>
    <n v="40"/>
    <x v="10"/>
    <x v="10"/>
    <x v="3"/>
    <x v="11"/>
  </r>
  <r>
    <x v="12"/>
    <x v="12"/>
    <x v="1"/>
    <n v="44"/>
    <x v="11"/>
    <x v="11"/>
    <x v="0"/>
    <x v="12"/>
  </r>
  <r>
    <x v="13"/>
    <x v="13"/>
    <x v="1"/>
    <n v="36"/>
    <x v="0"/>
    <x v="12"/>
    <x v="2"/>
    <x v="13"/>
  </r>
  <r>
    <x v="14"/>
    <x v="14"/>
    <x v="1"/>
    <n v="25"/>
    <x v="11"/>
    <x v="13"/>
    <x v="0"/>
    <x v="14"/>
  </r>
  <r>
    <x v="15"/>
    <x v="15"/>
    <x v="1"/>
    <n v="35"/>
    <x v="12"/>
    <x v="14"/>
    <x v="2"/>
    <x v="15"/>
  </r>
  <r>
    <x v="16"/>
    <x v="16"/>
    <x v="1"/>
    <n v="20"/>
    <x v="13"/>
    <x v="15"/>
    <x v="1"/>
    <x v="16"/>
  </r>
  <r>
    <x v="17"/>
    <x v="17"/>
    <x v="1"/>
    <n v="60"/>
    <x v="8"/>
    <x v="16"/>
    <x v="3"/>
    <x v="17"/>
  </r>
  <r>
    <x v="18"/>
    <x v="18"/>
    <x v="1"/>
    <n v="47"/>
    <x v="14"/>
    <x v="17"/>
    <x v="0"/>
    <x v="18"/>
  </r>
  <r>
    <x v="19"/>
    <x v="19"/>
    <x v="1"/>
    <n v="60"/>
    <x v="15"/>
    <x v="18"/>
    <x v="3"/>
    <x v="19"/>
  </r>
  <r>
    <x v="20"/>
    <x v="20"/>
    <x v="1"/>
    <n v="48"/>
    <x v="14"/>
    <x v="19"/>
    <x v="0"/>
    <x v="20"/>
  </r>
  <r>
    <x v="21"/>
    <x v="21"/>
    <x v="1"/>
    <n v="34"/>
    <x v="14"/>
    <x v="3"/>
    <x v="0"/>
    <x v="21"/>
  </r>
  <r>
    <x v="22"/>
    <x v="22"/>
    <x v="0"/>
    <n v="52"/>
    <x v="16"/>
    <x v="5"/>
    <x v="0"/>
    <x v="22"/>
  </r>
  <r>
    <x v="23"/>
    <x v="23"/>
    <x v="0"/>
    <n v="45"/>
    <x v="13"/>
    <x v="20"/>
    <x v="2"/>
    <x v="23"/>
  </r>
  <r>
    <x v="24"/>
    <x v="24"/>
    <x v="0"/>
    <n v="50"/>
    <x v="17"/>
    <x v="8"/>
    <x v="0"/>
    <x v="24"/>
  </r>
  <r>
    <x v="25"/>
    <x v="25"/>
    <x v="0"/>
    <n v="53"/>
    <x v="18"/>
    <x v="15"/>
    <x v="1"/>
    <x v="25"/>
  </r>
  <r>
    <x v="26"/>
    <x v="26"/>
    <x v="1"/>
    <n v="56"/>
    <x v="19"/>
    <x v="21"/>
    <x v="3"/>
    <x v="26"/>
  </r>
  <r>
    <x v="27"/>
    <x v="27"/>
    <x v="1"/>
    <n v="23"/>
    <x v="20"/>
    <x v="22"/>
    <x v="2"/>
    <x v="27"/>
  </r>
  <r>
    <x v="28"/>
    <x v="28"/>
    <x v="0"/>
    <n v="21"/>
    <x v="17"/>
    <x v="23"/>
    <x v="0"/>
    <x v="28"/>
  </r>
  <r>
    <x v="29"/>
    <x v="29"/>
    <x v="1"/>
    <n v="42"/>
    <x v="21"/>
    <x v="24"/>
    <x v="1"/>
    <x v="29"/>
  </r>
  <r>
    <x v="30"/>
    <x v="30"/>
    <x v="0"/>
    <n v="44"/>
    <x v="22"/>
    <x v="6"/>
    <x v="2"/>
    <x v="30"/>
  </r>
  <r>
    <x v="31"/>
    <x v="31"/>
    <x v="1"/>
    <n v="48"/>
    <x v="17"/>
    <x v="25"/>
    <x v="0"/>
    <x v="31"/>
  </r>
  <r>
    <x v="32"/>
    <x v="32"/>
    <x v="0"/>
    <n v="50"/>
    <x v="1"/>
    <x v="18"/>
    <x v="3"/>
    <x v="21"/>
  </r>
  <r>
    <x v="33"/>
    <x v="33"/>
    <x v="0"/>
    <n v="31"/>
    <x v="12"/>
    <x v="10"/>
    <x v="0"/>
    <x v="32"/>
  </r>
  <r>
    <x v="34"/>
    <x v="34"/>
    <x v="1"/>
    <n v="48"/>
    <x v="7"/>
    <x v="26"/>
    <x v="1"/>
    <x v="33"/>
  </r>
  <r>
    <x v="35"/>
    <x v="35"/>
    <x v="1"/>
    <n v="43"/>
    <x v="9"/>
    <x v="27"/>
    <x v="0"/>
    <x v="34"/>
  </r>
  <r>
    <x v="36"/>
    <x v="36"/>
    <x v="0"/>
    <n v="29"/>
    <x v="18"/>
    <x v="28"/>
    <x v="3"/>
    <x v="35"/>
  </r>
  <r>
    <x v="37"/>
    <x v="37"/>
    <x v="0"/>
    <n v="27"/>
    <x v="23"/>
    <x v="20"/>
    <x v="1"/>
    <x v="36"/>
  </r>
  <r>
    <x v="38"/>
    <x v="38"/>
    <x v="1"/>
    <n v="20"/>
    <x v="7"/>
    <x v="29"/>
    <x v="1"/>
    <x v="37"/>
  </r>
  <r>
    <x v="39"/>
    <x v="39"/>
    <x v="0"/>
    <n v="20"/>
    <x v="19"/>
    <x v="30"/>
    <x v="0"/>
    <x v="38"/>
  </r>
  <r>
    <x v="40"/>
    <x v="40"/>
    <x v="0"/>
    <n v="18"/>
    <x v="24"/>
    <x v="25"/>
    <x v="0"/>
    <x v="39"/>
  </r>
  <r>
    <x v="41"/>
    <x v="41"/>
    <x v="1"/>
    <n v="41"/>
    <x v="25"/>
    <x v="5"/>
    <x v="0"/>
    <x v="40"/>
  </r>
  <r>
    <x v="42"/>
    <x v="42"/>
    <x v="0"/>
    <n v="35"/>
    <x v="26"/>
    <x v="31"/>
    <x v="2"/>
    <x v="0"/>
  </r>
  <r>
    <x v="43"/>
    <x v="43"/>
    <x v="0"/>
    <n v="47"/>
    <x v="6"/>
    <x v="9"/>
    <x v="1"/>
    <x v="41"/>
  </r>
  <r>
    <x v="44"/>
    <x v="44"/>
    <x v="0"/>
    <n v="39"/>
    <x v="27"/>
    <x v="32"/>
    <x v="3"/>
    <x v="42"/>
  </r>
  <r>
    <x v="45"/>
    <x v="45"/>
    <x v="1"/>
    <n v="28"/>
    <x v="26"/>
    <x v="28"/>
    <x v="1"/>
    <x v="43"/>
  </r>
  <r>
    <x v="46"/>
    <x v="46"/>
    <x v="0"/>
    <n v="60"/>
    <x v="22"/>
    <x v="9"/>
    <x v="1"/>
    <x v="44"/>
  </r>
  <r>
    <x v="47"/>
    <x v="47"/>
    <x v="0"/>
    <n v="23"/>
    <x v="28"/>
    <x v="14"/>
    <x v="1"/>
    <x v="45"/>
  </r>
  <r>
    <x v="48"/>
    <x v="48"/>
    <x v="0"/>
    <n v="32"/>
    <x v="29"/>
    <x v="5"/>
    <x v="3"/>
    <x v="46"/>
  </r>
  <r>
    <x v="49"/>
    <x v="49"/>
    <x v="0"/>
    <n v="48"/>
    <x v="20"/>
    <x v="33"/>
    <x v="3"/>
    <x v="47"/>
  </r>
  <r>
    <x v="50"/>
    <x v="50"/>
    <x v="1"/>
    <n v="33"/>
    <x v="28"/>
    <x v="13"/>
    <x v="0"/>
    <x v="48"/>
  </r>
  <r>
    <x v="51"/>
    <x v="51"/>
    <x v="0"/>
    <n v="54"/>
    <x v="20"/>
    <x v="34"/>
    <x v="1"/>
    <x v="49"/>
  </r>
  <r>
    <x v="52"/>
    <x v="52"/>
    <x v="0"/>
    <n v="18"/>
    <x v="20"/>
    <x v="35"/>
    <x v="1"/>
    <x v="29"/>
  </r>
  <r>
    <x v="53"/>
    <x v="53"/>
    <x v="0"/>
    <n v="51"/>
    <x v="30"/>
    <x v="21"/>
    <x v="2"/>
    <x v="50"/>
  </r>
  <r>
    <x v="54"/>
    <x v="54"/>
    <x v="0"/>
    <n v="29"/>
    <x v="10"/>
    <x v="17"/>
    <x v="3"/>
    <x v="51"/>
  </r>
  <r>
    <x v="55"/>
    <x v="55"/>
    <x v="0"/>
    <n v="34"/>
    <x v="31"/>
    <x v="10"/>
    <x v="2"/>
    <x v="52"/>
  </r>
  <r>
    <x v="56"/>
    <x v="56"/>
    <x v="1"/>
    <n v="25"/>
    <x v="25"/>
    <x v="36"/>
    <x v="2"/>
    <x v="53"/>
  </r>
  <r>
    <x v="57"/>
    <x v="57"/>
    <x v="0"/>
    <n v="26"/>
    <x v="19"/>
    <x v="18"/>
    <x v="2"/>
    <x v="54"/>
  </r>
  <r>
    <x v="58"/>
    <x v="58"/>
    <x v="0"/>
    <n v="29"/>
    <x v="32"/>
    <x v="37"/>
    <x v="1"/>
    <x v="55"/>
  </r>
  <r>
    <x v="59"/>
    <x v="59"/>
    <x v="1"/>
    <n v="25"/>
    <x v="6"/>
    <x v="38"/>
    <x v="3"/>
    <x v="17"/>
  </r>
  <r>
    <x v="60"/>
    <x v="60"/>
    <x v="0"/>
    <n v="25"/>
    <x v="4"/>
    <x v="39"/>
    <x v="0"/>
    <x v="14"/>
  </r>
  <r>
    <x v="61"/>
    <x v="61"/>
    <x v="0"/>
    <n v="52"/>
    <x v="33"/>
    <x v="40"/>
    <x v="2"/>
    <x v="56"/>
  </r>
  <r>
    <x v="62"/>
    <x v="62"/>
    <x v="1"/>
    <n v="34"/>
    <x v="33"/>
    <x v="41"/>
    <x v="0"/>
    <x v="57"/>
  </r>
  <r>
    <x v="63"/>
    <x v="63"/>
    <x v="0"/>
    <n v="33"/>
    <x v="20"/>
    <x v="42"/>
    <x v="1"/>
    <x v="58"/>
  </r>
  <r>
    <x v="64"/>
    <x v="64"/>
    <x v="1"/>
    <n v="44"/>
    <x v="29"/>
    <x v="43"/>
    <x v="0"/>
    <x v="59"/>
  </r>
  <r>
    <x v="65"/>
    <x v="65"/>
    <x v="1"/>
    <n v="55"/>
    <x v="34"/>
    <x v="44"/>
    <x v="3"/>
    <x v="60"/>
  </r>
  <r>
    <x v="66"/>
    <x v="66"/>
    <x v="1"/>
    <n v="51"/>
    <x v="32"/>
    <x v="41"/>
    <x v="3"/>
    <x v="61"/>
  </r>
  <r>
    <x v="67"/>
    <x v="67"/>
    <x v="0"/>
    <n v="36"/>
    <x v="13"/>
    <x v="20"/>
    <x v="2"/>
    <x v="23"/>
  </r>
  <r>
    <x v="68"/>
    <x v="68"/>
    <x v="1"/>
    <n v="32"/>
    <x v="31"/>
    <x v="27"/>
    <x v="3"/>
    <x v="62"/>
  </r>
  <r>
    <x v="69"/>
    <x v="69"/>
    <x v="0"/>
    <n v="55"/>
    <x v="31"/>
    <x v="45"/>
    <x v="3"/>
    <x v="63"/>
  </r>
  <r>
    <x v="70"/>
    <x v="70"/>
    <x v="0"/>
    <n v="53"/>
    <x v="22"/>
    <x v="23"/>
    <x v="2"/>
    <x v="64"/>
  </r>
  <r>
    <x v="71"/>
    <x v="71"/>
    <x v="0"/>
    <n v="51"/>
    <x v="12"/>
    <x v="21"/>
    <x v="3"/>
    <x v="65"/>
  </r>
  <r>
    <x v="72"/>
    <x v="72"/>
    <x v="1"/>
    <n v="39"/>
    <x v="29"/>
    <x v="22"/>
    <x v="0"/>
    <x v="41"/>
  </r>
  <r>
    <x v="73"/>
    <x v="73"/>
    <x v="0"/>
    <n v="32"/>
    <x v="29"/>
    <x v="22"/>
    <x v="0"/>
    <x v="41"/>
  </r>
  <r>
    <x v="74"/>
    <x v="74"/>
    <x v="1"/>
    <n v="48"/>
    <x v="31"/>
    <x v="46"/>
    <x v="1"/>
    <x v="66"/>
  </r>
  <r>
    <x v="75"/>
    <x v="75"/>
    <x v="1"/>
    <n v="49"/>
    <x v="18"/>
    <x v="13"/>
    <x v="2"/>
    <x v="67"/>
  </r>
  <r>
    <x v="76"/>
    <x v="76"/>
    <x v="1"/>
    <n v="43"/>
    <x v="11"/>
    <x v="47"/>
    <x v="3"/>
    <x v="68"/>
  </r>
  <r>
    <x v="77"/>
    <x v="77"/>
    <x v="0"/>
    <n v="56"/>
    <x v="22"/>
    <x v="23"/>
    <x v="2"/>
    <x v="64"/>
  </r>
  <r>
    <x v="78"/>
    <x v="78"/>
    <x v="0"/>
    <n v="21"/>
    <x v="29"/>
    <x v="47"/>
    <x v="0"/>
    <x v="69"/>
  </r>
  <r>
    <x v="79"/>
    <x v="79"/>
    <x v="0"/>
    <n v="20"/>
    <x v="35"/>
    <x v="24"/>
    <x v="0"/>
    <x v="70"/>
  </r>
  <r>
    <x v="80"/>
    <x v="80"/>
    <x v="0"/>
    <n v="39"/>
    <x v="36"/>
    <x v="44"/>
    <x v="2"/>
    <x v="29"/>
  </r>
  <r>
    <x v="81"/>
    <x v="81"/>
    <x v="0"/>
    <n v="52"/>
    <x v="35"/>
    <x v="48"/>
    <x v="0"/>
    <x v="71"/>
  </r>
  <r>
    <x v="82"/>
    <x v="82"/>
    <x v="0"/>
    <n v="49"/>
    <x v="35"/>
    <x v="49"/>
    <x v="0"/>
    <x v="72"/>
  </r>
  <r>
    <x v="83"/>
    <x v="83"/>
    <x v="0"/>
    <n v="43"/>
    <x v="32"/>
    <x v="2"/>
    <x v="1"/>
    <x v="44"/>
  </r>
  <r>
    <x v="84"/>
    <x v="84"/>
    <x v="0"/>
    <n v="29"/>
    <x v="32"/>
    <x v="50"/>
    <x v="2"/>
    <x v="73"/>
  </r>
  <r>
    <x v="85"/>
    <x v="85"/>
    <x v="1"/>
    <n v="58"/>
    <x v="23"/>
    <x v="41"/>
    <x v="1"/>
    <x v="74"/>
  </r>
  <r>
    <x v="86"/>
    <x v="86"/>
    <x v="0"/>
    <n v="35"/>
    <x v="21"/>
    <x v="50"/>
    <x v="0"/>
    <x v="8"/>
  </r>
  <r>
    <x v="87"/>
    <x v="87"/>
    <x v="1"/>
    <n v="56"/>
    <x v="13"/>
    <x v="51"/>
    <x v="2"/>
    <x v="4"/>
  </r>
  <r>
    <x v="88"/>
    <x v="88"/>
    <x v="0"/>
    <n v="20"/>
    <x v="14"/>
    <x v="20"/>
    <x v="1"/>
    <x v="75"/>
  </r>
  <r>
    <x v="89"/>
    <x v="89"/>
    <x v="1"/>
    <n v="41"/>
    <x v="13"/>
    <x v="4"/>
    <x v="0"/>
    <x v="76"/>
  </r>
  <r>
    <x v="90"/>
    <x v="90"/>
    <x v="0"/>
    <n v="42"/>
    <x v="13"/>
    <x v="52"/>
    <x v="0"/>
    <x v="36"/>
  </r>
  <r>
    <x v="91"/>
    <x v="91"/>
    <x v="1"/>
    <n v="39"/>
    <x v="3"/>
    <x v="11"/>
    <x v="0"/>
    <x v="77"/>
  </r>
  <r>
    <x v="92"/>
    <x v="92"/>
    <x v="0"/>
    <n v="45"/>
    <x v="18"/>
    <x v="29"/>
    <x v="0"/>
    <x v="78"/>
  </r>
  <r>
    <x v="93"/>
    <x v="93"/>
    <x v="1"/>
    <n v="55"/>
    <x v="18"/>
    <x v="53"/>
    <x v="0"/>
    <x v="11"/>
  </r>
  <r>
    <x v="94"/>
    <x v="94"/>
    <x v="0"/>
    <n v="32"/>
    <x v="30"/>
    <x v="17"/>
    <x v="0"/>
    <x v="79"/>
  </r>
  <r>
    <x v="95"/>
    <x v="95"/>
    <x v="0"/>
    <n v="35"/>
    <x v="5"/>
    <x v="54"/>
    <x v="3"/>
    <x v="80"/>
  </r>
  <r>
    <x v="96"/>
    <x v="96"/>
    <x v="1"/>
    <n v="59"/>
    <x v="37"/>
    <x v="39"/>
    <x v="3"/>
    <x v="81"/>
  </r>
  <r>
    <x v="97"/>
    <x v="97"/>
    <x v="1"/>
    <n v="35"/>
    <x v="24"/>
    <x v="55"/>
    <x v="3"/>
    <x v="26"/>
  </r>
  <r>
    <x v="98"/>
    <x v="98"/>
    <x v="0"/>
    <n v="44"/>
    <x v="30"/>
    <x v="7"/>
    <x v="0"/>
    <x v="82"/>
  </r>
  <r>
    <x v="99"/>
    <x v="99"/>
    <x v="0"/>
    <n v="46"/>
    <x v="31"/>
    <x v="44"/>
    <x v="0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6D885-07BC-45D2-8A11-6E200D6E553C}" name="Tabela przestawna2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A3:B6" firstHeaderRow="1" firstDataRow="1" firstDataCol="1"/>
  <pivotFields count="8">
    <pivotField showAll="0">
      <items count="101">
        <item x="47"/>
        <item x="26"/>
        <item x="93"/>
        <item x="86"/>
        <item x="82"/>
        <item x="27"/>
        <item x="94"/>
        <item x="22"/>
        <item x="11"/>
        <item x="61"/>
        <item x="52"/>
        <item x="14"/>
        <item x="13"/>
        <item x="8"/>
        <item x="4"/>
        <item x="76"/>
        <item x="45"/>
        <item x="64"/>
        <item x="84"/>
        <item x="90"/>
        <item x="38"/>
        <item x="60"/>
        <item x="56"/>
        <item x="15"/>
        <item x="49"/>
        <item x="51"/>
        <item x="66"/>
        <item x="33"/>
        <item x="25"/>
        <item x="48"/>
        <item x="67"/>
        <item x="92"/>
        <item x="53"/>
        <item x="36"/>
        <item x="10"/>
        <item x="81"/>
        <item x="95"/>
        <item x="57"/>
        <item x="70"/>
        <item x="80"/>
        <item x="68"/>
        <item x="87"/>
        <item x="69"/>
        <item x="65"/>
        <item x="89"/>
        <item x="97"/>
        <item x="74"/>
        <item x="1"/>
        <item x="7"/>
        <item x="34"/>
        <item x="54"/>
        <item x="62"/>
        <item x="55"/>
        <item x="30"/>
        <item x="85"/>
        <item x="63"/>
        <item x="6"/>
        <item x="31"/>
        <item x="35"/>
        <item x="46"/>
        <item x="21"/>
        <item x="5"/>
        <item x="72"/>
        <item x="19"/>
        <item x="2"/>
        <item x="42"/>
        <item x="16"/>
        <item x="18"/>
        <item x="44"/>
        <item x="3"/>
        <item x="83"/>
        <item x="39"/>
        <item x="28"/>
        <item x="40"/>
        <item x="24"/>
        <item x="58"/>
        <item x="78"/>
        <item x="23"/>
        <item x="0"/>
        <item x="41"/>
        <item x="91"/>
        <item x="77"/>
        <item x="20"/>
        <item x="59"/>
        <item x="96"/>
        <item x="71"/>
        <item x="73"/>
        <item x="75"/>
        <item x="9"/>
        <item x="88"/>
        <item x="79"/>
        <item x="99"/>
        <item x="29"/>
        <item x="32"/>
        <item x="37"/>
        <item x="43"/>
        <item x="98"/>
        <item x="17"/>
        <item x="12"/>
        <item x="50"/>
        <item t="default"/>
      </items>
    </pivotField>
    <pivotField showAll="0">
      <items count="101">
        <item x="14"/>
        <item x="64"/>
        <item x="12"/>
        <item x="61"/>
        <item x="18"/>
        <item x="46"/>
        <item x="24"/>
        <item x="65"/>
        <item x="16"/>
        <item x="86"/>
        <item x="84"/>
        <item x="10"/>
        <item x="73"/>
        <item x="97"/>
        <item x="23"/>
        <item x="52"/>
        <item x="95"/>
        <item x="54"/>
        <item x="27"/>
        <item x="19"/>
        <item x="15"/>
        <item x="60"/>
        <item x="62"/>
        <item x="76"/>
        <item x="7"/>
        <item x="42"/>
        <item x="85"/>
        <item x="45"/>
        <item x="58"/>
        <item x="11"/>
        <item x="96"/>
        <item x="32"/>
        <item x="8"/>
        <item x="66"/>
        <item x="63"/>
        <item x="51"/>
        <item x="55"/>
        <item x="91"/>
        <item x="20"/>
        <item x="78"/>
        <item x="88"/>
        <item x="82"/>
        <item x="56"/>
        <item x="35"/>
        <item x="57"/>
        <item x="6"/>
        <item x="44"/>
        <item x="0"/>
        <item x="90"/>
        <item x="69"/>
        <item x="77"/>
        <item x="81"/>
        <item x="79"/>
        <item x="40"/>
        <item x="41"/>
        <item x="21"/>
        <item x="48"/>
        <item x="25"/>
        <item x="94"/>
        <item x="31"/>
        <item x="92"/>
        <item x="53"/>
        <item x="47"/>
        <item x="75"/>
        <item x="34"/>
        <item x="36"/>
        <item x="98"/>
        <item x="2"/>
        <item x="33"/>
        <item x="39"/>
        <item x="37"/>
        <item x="17"/>
        <item x="38"/>
        <item x="87"/>
        <item x="49"/>
        <item x="80"/>
        <item x="70"/>
        <item x="74"/>
        <item x="4"/>
        <item x="22"/>
        <item x="83"/>
        <item x="99"/>
        <item x="26"/>
        <item x="30"/>
        <item x="68"/>
        <item x="93"/>
        <item x="89"/>
        <item x="71"/>
        <item x="50"/>
        <item x="3"/>
        <item x="29"/>
        <item x="5"/>
        <item x="1"/>
        <item x="59"/>
        <item x="67"/>
        <item x="43"/>
        <item x="9"/>
        <item x="72"/>
        <item x="28"/>
        <item x="13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>
      <items count="39">
        <item x="2"/>
        <item x="31"/>
        <item x="30"/>
        <item x="18"/>
        <item x="3"/>
        <item x="13"/>
        <item x="15"/>
        <item x="8"/>
        <item x="7"/>
        <item x="20"/>
        <item x="21"/>
        <item x="10"/>
        <item x="35"/>
        <item x="6"/>
        <item x="27"/>
        <item x="29"/>
        <item x="33"/>
        <item x="4"/>
        <item x="28"/>
        <item x="25"/>
        <item x="24"/>
        <item x="19"/>
        <item x="36"/>
        <item x="9"/>
        <item x="12"/>
        <item x="26"/>
        <item x="17"/>
        <item x="16"/>
        <item x="14"/>
        <item x="1"/>
        <item x="11"/>
        <item x="5"/>
        <item x="37"/>
        <item x="34"/>
        <item x="32"/>
        <item x="23"/>
        <item x="22"/>
        <item x="0"/>
        <item t="default"/>
      </items>
    </pivotField>
    <pivotField showAll="0">
      <items count="57">
        <item x="2"/>
        <item x="9"/>
        <item x="22"/>
        <item x="6"/>
        <item x="27"/>
        <item x="16"/>
        <item x="32"/>
        <item x="26"/>
        <item sd="0" x="23"/>
        <item x="38"/>
        <item x="46"/>
        <item x="34"/>
        <item x="12"/>
        <item x="41"/>
        <item x="30"/>
        <item x="53"/>
        <item x="48"/>
        <item x="28"/>
        <item x="4"/>
        <item x="51"/>
        <item x="52"/>
        <item x="40"/>
        <item x="10"/>
        <item x="37"/>
        <item x="3"/>
        <item x="18"/>
        <item x="19"/>
        <item x="8"/>
        <item x="49"/>
        <item x="17"/>
        <item x="35"/>
        <item x="24"/>
        <item x="25"/>
        <item x="43"/>
        <item x="29"/>
        <item x="54"/>
        <item x="31"/>
        <item x="47"/>
        <item x="11"/>
        <item x="39"/>
        <item x="45"/>
        <item x="5"/>
        <item x="15"/>
        <item x="44"/>
        <item x="14"/>
        <item x="0"/>
        <item x="55"/>
        <item x="21"/>
        <item x="36"/>
        <item x="20"/>
        <item x="33"/>
        <item x="1"/>
        <item x="42"/>
        <item x="7"/>
        <item x="13"/>
        <item x="5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Liczba z gender" fld="2" subtotal="count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EB193-689B-4259-ACD1-49B401737CD7}" name="Tabela przestawna4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9">
  <location ref="A3:B8" firstHeaderRow="1" firstDataRow="1" firstDataCol="1"/>
  <pivotFields count="8">
    <pivotField showAll="0"/>
    <pivotField showAll="0"/>
    <pivotField showAll="0"/>
    <pivotField showAll="0"/>
    <pivotField showAll="0">
      <items count="39">
        <item x="2"/>
        <item x="31"/>
        <item x="30"/>
        <item x="18"/>
        <item x="3"/>
        <item x="13"/>
        <item x="15"/>
        <item x="8"/>
        <item x="7"/>
        <item x="20"/>
        <item x="21"/>
        <item x="10"/>
        <item x="35"/>
        <item x="6"/>
        <item x="27"/>
        <item x="29"/>
        <item x="33"/>
        <item x="4"/>
        <item x="28"/>
        <item x="25"/>
        <item x="24"/>
        <item x="19"/>
        <item x="36"/>
        <item x="9"/>
        <item x="12"/>
        <item x="26"/>
        <item x="17"/>
        <item x="16"/>
        <item x="14"/>
        <item x="1"/>
        <item x="11"/>
        <item x="5"/>
        <item x="37"/>
        <item x="34"/>
        <item x="32"/>
        <item x="23"/>
        <item x="22"/>
        <item x="0"/>
        <item t="default"/>
      </items>
    </pivotField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country" fld="6" subtotal="count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5802E-65F3-4E9A-815A-66FBE6B11121}" name="Tabela przestawna5" cacheId="21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 chartFormat="23">
  <location ref="A3:B7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39">
        <item x="2"/>
        <item x="31"/>
        <item x="30"/>
        <item x="18"/>
        <item x="3"/>
        <item x="13"/>
        <item x="15"/>
        <item x="8"/>
        <item x="7"/>
        <item x="20"/>
        <item x="21"/>
        <item x="10"/>
        <item x="35"/>
        <item x="6"/>
        <item x="27"/>
        <item x="29"/>
        <item x="33"/>
        <item x="4"/>
        <item x="28"/>
        <item x="25"/>
        <item x="24"/>
        <item x="19"/>
        <item x="36"/>
        <item x="9"/>
        <item x="12"/>
        <item x="26"/>
        <item x="17"/>
        <item x="16"/>
        <item x="14"/>
        <item x="1"/>
        <item x="11"/>
        <item x="5"/>
        <item x="37"/>
        <item x="34"/>
        <item x="32"/>
        <item x="23"/>
        <item x="22"/>
        <item x="0"/>
        <item t="default"/>
      </items>
    </pivotField>
    <pivotField showAll="0"/>
    <pivotField axis="axisRow" showAll="0">
      <items count="5">
        <item sd="0" x="0"/>
        <item sd="0" x="2"/>
        <item sd="0" x="1"/>
        <item sd="0" x="3"/>
        <item t="default"/>
      </items>
    </pivotField>
    <pivotField showAll="0"/>
  </pivotFields>
  <rowFields count="2">
    <field x="6"/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Maksimum z height" fld="4" subtotal="max" baseField="6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5963B-CBD6-4D6C-9F1F-166C8DAC300F}" name="Tabela przestawna6" cacheId="21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 chartFormat="14">
  <location ref="A3:B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/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Średnia z BMI" fld="7" subtotal="average" baseField="6" baseItem="0" numFmtId="164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012A3-9E1A-40C4-8297-3C9538E95D72}" name="Tabela przestawna7" cacheId="2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A4:B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5">
        <item sd="0" x="0"/>
        <item sd="0" x="2"/>
        <item sd="0" x="1"/>
        <item sd="0" x="3"/>
        <item t="default"/>
      </items>
    </pivotField>
    <pivotField axis="axisRow" dataField="1" showAll="0">
      <items count="85">
        <item x="44"/>
        <item x="30"/>
        <item x="10"/>
        <item x="64"/>
        <item x="34"/>
        <item x="13"/>
        <item x="41"/>
        <item x="74"/>
        <item x="61"/>
        <item x="28"/>
        <item x="7"/>
        <item x="27"/>
        <item x="42"/>
        <item x="2"/>
        <item x="3"/>
        <item x="38"/>
        <item x="55"/>
        <item x="17"/>
        <item x="43"/>
        <item x="57"/>
        <item x="33"/>
        <item x="6"/>
        <item x="62"/>
        <item x="21"/>
        <item x="32"/>
        <item x="49"/>
        <item x="20"/>
        <item x="71"/>
        <item x="24"/>
        <item x="18"/>
        <item x="54"/>
        <item x="56"/>
        <item x="80"/>
        <item x="66"/>
        <item x="31"/>
        <item x="11"/>
        <item x="81"/>
        <item x="68"/>
        <item x="0"/>
        <item x="12"/>
        <item x="39"/>
        <item x="60"/>
        <item x="76"/>
        <item x="35"/>
        <item x="4"/>
        <item x="36"/>
        <item x="22"/>
        <item x="72"/>
        <item x="59"/>
        <item x="51"/>
        <item x="70"/>
        <item x="19"/>
        <item x="73"/>
        <item x="52"/>
        <item x="15"/>
        <item x="75"/>
        <item x="9"/>
        <item x="1"/>
        <item x="29"/>
        <item x="40"/>
        <item x="65"/>
        <item x="14"/>
        <item x="69"/>
        <item x="5"/>
        <item x="26"/>
        <item x="37"/>
        <item x="46"/>
        <item x="45"/>
        <item x="53"/>
        <item x="79"/>
        <item x="78"/>
        <item x="48"/>
        <item x="77"/>
        <item x="16"/>
        <item x="47"/>
        <item x="25"/>
        <item x="63"/>
        <item x="58"/>
        <item x="8"/>
        <item x="83"/>
        <item x="23"/>
        <item x="50"/>
        <item x="82"/>
        <item x="67"/>
        <item t="default"/>
      </items>
    </pivotField>
  </pivotFields>
  <rowFields count="2">
    <field x="6"/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BMI" fld="7" subtotal="count" baseField="6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aptionBetween" evalOrder="-1" id="1" stringValue1="18,5" stringValue2="24,9">
      <autoFilter ref="A1">
        <filterColumn colId="0">
          <customFilters and="1">
            <customFilter operator="greaterThanOrEqual" val="18.5"/>
            <customFilter operator="lessThanOrEqual" val="24.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E85BA-E09F-488A-B56C-7A834F8A6B69}" name="Tabela przestawna8" cacheId="21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1">
  <location ref="A3:E6" firstHeaderRow="1" firstDataRow="2" firstDataCol="1"/>
  <pivotFields count="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axis="axisCol" showAll="0">
      <items count="5">
        <item x="0"/>
        <item x="2"/>
        <item x="1"/>
        <item x="3"/>
        <item t="default"/>
      </items>
    </pivotField>
    <pivotField showAll="0"/>
  </pivotFields>
  <rowFields count="1">
    <field x="2"/>
  </rowFields>
  <rowItems count="2">
    <i>
      <x/>
    </i>
    <i>
      <x v="1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Średnia z wage" fld="5" subtotal="average" baseField="0" baseItem="0" numFmtId="164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5498AF6-39CD-4E68-BE88-88BFDA5E97F6}" autoFormatId="16" applyNumberFormats="0" applyBorderFormats="0" applyFontFormats="0" applyPatternFormats="0" applyAlignmentFormats="0" applyWidthHeightFormats="0">
  <queryTableRefresh nextId="9">
    <queryTableFields count="8">
      <queryTableField id="1" name="first_name" tableColumnId="1"/>
      <queryTableField id="2" name="last_name" tableColumnId="2"/>
      <queryTableField id="3" name="gender" tableColumnId="3"/>
      <queryTableField id="4" name="age" tableColumnId="4"/>
      <queryTableField id="5" name="height" tableColumnId="5"/>
      <queryTableField id="6" name="wage" tableColumnId="6"/>
      <queryTableField id="7" name="country" tableColumnId="7"/>
      <queryTableField id="8" name="BMI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ADFF7B3-EDB1-4CE2-A157-2D39A569389E}" autoFormatId="16" applyNumberFormats="0" applyBorderFormats="0" applyFontFormats="0" applyPatternFormats="0" applyAlignmentFormats="0" applyWidthHeightFormats="0">
  <queryTableRefresh nextId="9">
    <queryTableFields count="8">
      <queryTableField id="1" name="first_name" tableColumnId="1"/>
      <queryTableField id="2" name="last_name" tableColumnId="2"/>
      <queryTableField id="3" name="gender" tableColumnId="3"/>
      <queryTableField id="4" name="age" tableColumnId="4"/>
      <queryTableField id="5" name="height" tableColumnId="5"/>
      <queryTableField id="6" name="wage" tableColumnId="6"/>
      <queryTableField id="7" name="country" tableColumnId="7"/>
      <queryTableField id="8" name="BMI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D97C87-1DFD-4D74-BE66-008BBC1CA9AA}" autoFormatId="16" applyNumberFormats="0" applyBorderFormats="0" applyFontFormats="0" applyPatternFormats="0" applyAlignmentFormats="0" applyWidthHeightFormats="0">
  <queryTableRefresh nextId="6">
    <queryTableFields count="5">
      <queryTableField id="1" name="gender" tableColumnId="1"/>
      <queryTableField id="2" name="age" tableColumnId="2"/>
      <queryTableField id="3" name="height" tableColumnId="3"/>
      <queryTableField id="4" name="wage" tableColumnId="4"/>
      <queryTableField id="5" name="countr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579B44-1B33-418B-A5EE-C444F7EC050E}" name="medical_data__3" displayName="medical_data__3" ref="A1:H101" tableType="queryTable" totalsRowShown="0">
  <autoFilter ref="A1:H101" xr:uid="{A7579B44-1B33-418B-A5EE-C444F7EC050E}"/>
  <tableColumns count="8">
    <tableColumn id="1" xr3:uid="{9DE68BEE-FD85-405D-A0BC-1EBC57DA731D}" uniqueName="1" name="first_name" queryTableFieldId="1" dataDxfId="3"/>
    <tableColumn id="2" xr3:uid="{ED10DA90-553A-4E40-9EB5-1ACA121B7861}" uniqueName="2" name="last_name" queryTableFieldId="2" dataDxfId="2"/>
    <tableColumn id="3" xr3:uid="{C5E815A0-7459-4D7A-9FDF-F700FF287714}" uniqueName="3" name="gender" queryTableFieldId="3" dataDxfId="1"/>
    <tableColumn id="4" xr3:uid="{63896757-5F55-4AAF-9EF9-70EEB92BBDA1}" uniqueName="4" name="age" queryTableFieldId="4"/>
    <tableColumn id="5" xr3:uid="{8992467B-E89E-4BAF-9704-DA199AB10336}" uniqueName="5" name="height" queryTableFieldId="5"/>
    <tableColumn id="6" xr3:uid="{FD219809-AABF-46E4-B25A-F6CCE35D49EE}" uniqueName="6" name="wage" queryTableFieldId="6"/>
    <tableColumn id="7" xr3:uid="{F3E1A8AD-5756-4092-8865-380061845A1A}" uniqueName="7" name="country" queryTableFieldId="7" dataDxfId="0"/>
    <tableColumn id="8" xr3:uid="{6F25FB3A-C28C-473A-A285-F002CD6B93B2}" uniqueName="8" name="BMI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829C2B-924E-4927-83C2-332B0CF41647}" name="medical_data__2" displayName="medical_data__2" ref="A1:H101" tableType="queryTable" totalsRowShown="0">
  <autoFilter ref="A1:H101" xr:uid="{33829C2B-924E-4927-83C2-332B0CF41647}"/>
  <tableColumns count="8">
    <tableColumn id="1" xr3:uid="{5C72E0FB-F4EA-4868-9D0C-F8FF2FF8A0D6}" uniqueName="1" name="first_name" queryTableFieldId="1" dataDxfId="7"/>
    <tableColumn id="2" xr3:uid="{1DA65BD5-880E-42DE-8BFB-BC2FC9AC5667}" uniqueName="2" name="last_name" queryTableFieldId="2" dataDxfId="6"/>
    <tableColumn id="3" xr3:uid="{4111CE68-F824-496A-A973-0CF4FC772271}" uniqueName="3" name="gender" queryTableFieldId="3" dataDxfId="5"/>
    <tableColumn id="4" xr3:uid="{6F630E01-6862-4448-B2DD-26EBF7A78546}" uniqueName="4" name="age" queryTableFieldId="4"/>
    <tableColumn id="5" xr3:uid="{F73DED45-A8C4-46C7-AC83-DD1329BC82BB}" uniqueName="5" name="height" queryTableFieldId="5"/>
    <tableColumn id="6" xr3:uid="{DB80A38E-85E8-45D9-890F-34D1ECDA5A8A}" uniqueName="6" name="wage" queryTableFieldId="6"/>
    <tableColumn id="7" xr3:uid="{7A7059F3-B34E-414F-B97B-8C2641C6E103}" uniqueName="7" name="country" queryTableFieldId="7" dataDxfId="4"/>
    <tableColumn id="8" xr3:uid="{4DB45D59-C8D3-4A2B-90DD-9EE966CBDFBB}" uniqueName="8" name="BMI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35208DB-C4BE-4780-A67D-21B131F29605}" name="medical_data" displayName="medical_data" ref="A1:E99" tableType="queryTable" totalsRowShown="0">
  <autoFilter ref="A1:E99" xr:uid="{835208DB-C4BE-4780-A67D-21B131F29605}"/>
  <tableColumns count="5">
    <tableColumn id="1" xr3:uid="{B34B8250-0282-4437-9B31-DDB9AB06D623}" uniqueName="1" name="gender" queryTableFieldId="1" dataDxfId="9"/>
    <tableColumn id="2" xr3:uid="{A3A93704-4373-46BF-9661-C909B858B414}" uniqueName="2" name="age" queryTableFieldId="2"/>
    <tableColumn id="3" xr3:uid="{413D254F-A64E-41DD-95EE-14E68C4D553E}" uniqueName="3" name="height" queryTableFieldId="3"/>
    <tableColumn id="4" xr3:uid="{D442A647-8922-41CD-A22A-B1CEE21CA195}" uniqueName="4" name="wage" queryTableFieldId="4"/>
    <tableColumn id="5" xr3:uid="{D0DAC82E-2047-4E7E-BC06-3EE4BD2B01DF}" uniqueName="5" name="country" queryTableFieldId="5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1A365-91B5-4558-B12D-881AB066AC17}" name="Tabela1" displayName="Tabela1" ref="A1:H102" totalsRowCount="1">
  <autoFilter ref="A1:H101" xr:uid="{0D01A365-91B5-4558-B12D-881AB066AC17}">
    <filterColumn colId="6">
      <filters>
        <filter val="Germany"/>
      </filters>
    </filterColumn>
  </autoFilter>
  <sortState xmlns:xlrd2="http://schemas.microsoft.com/office/spreadsheetml/2017/richdata2" ref="A2:H101">
    <sortCondition descending="1" ref="E1:E101"/>
  </sortState>
  <tableColumns count="8">
    <tableColumn id="1" xr3:uid="{15396488-5057-4605-A5F3-22700C382700}" name="first_name" totalsRowLabel="Suma"/>
    <tableColumn id="2" xr3:uid="{2AACE943-6205-4D11-9B2F-231C090A8B3D}" name="last_name"/>
    <tableColumn id="3" xr3:uid="{F8825F46-46B1-49DC-80E8-758703CD7A8F}" name="gender"/>
    <tableColumn id="4" xr3:uid="{98114CBC-1EF9-4AD2-8BF2-3D8050A67974}" name="age"/>
    <tableColumn id="5" xr3:uid="{C7CAD130-5E10-4575-AF88-2FEAF94903D2}" name="height"/>
    <tableColumn id="6" xr3:uid="{A50EECAA-D866-4D6E-A28A-D3573DD7EFF0}" name="wage"/>
    <tableColumn id="7" xr3:uid="{2ED50242-9A45-4FBA-B428-83765D61764D}" name="country"/>
    <tableColumn id="9" xr3:uid="{083BE01D-E5DA-4477-A0E3-3E171A55FA7D}" name="BMI" totalsRowFunction="min" dataDxfId="10">
      <calculatedColumnFormula>ROUND(Tabela1[[#This Row],[wage]] / ((Tabela1[[#This Row],[height]] / 100)^2), 1)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1BDD-3C71-4334-8260-0B41F0DC3EC0}">
  <dimension ref="A1:H101"/>
  <sheetViews>
    <sheetView tabSelected="1" workbookViewId="0">
      <selection activeCell="N16" sqref="N16"/>
    </sheetView>
  </sheetViews>
  <sheetFormatPr defaultRowHeight="14.25" x14ac:dyDescent="0.2"/>
  <cols>
    <col min="1" max="1" width="12.125" bestFit="1" customWidth="1"/>
    <col min="2" max="2" width="11.75" bestFit="1" customWidth="1"/>
    <col min="3" max="3" width="9.25" bestFit="1" customWidth="1"/>
    <col min="4" max="4" width="6.125" bestFit="1" customWidth="1"/>
    <col min="5" max="5" width="8.5" bestFit="1" customWidth="1"/>
    <col min="6" max="6" width="7.5" bestFit="1" customWidth="1"/>
    <col min="7" max="7" width="9.5" bestFit="1" customWidth="1"/>
    <col min="8" max="8" width="6.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416</v>
      </c>
    </row>
    <row r="2" spans="1:8" x14ac:dyDescent="0.2">
      <c r="A2" s="3" t="s">
        <v>218</v>
      </c>
      <c r="B2" s="3" t="s">
        <v>219</v>
      </c>
      <c r="C2" s="3" t="s">
        <v>9</v>
      </c>
      <c r="D2">
        <v>40</v>
      </c>
      <c r="E2">
        <v>193</v>
      </c>
      <c r="F2">
        <v>116</v>
      </c>
      <c r="G2" s="3" t="s">
        <v>22</v>
      </c>
      <c r="H2">
        <v>31.1</v>
      </c>
    </row>
    <row r="3" spans="1:8" x14ac:dyDescent="0.2">
      <c r="A3" s="3" t="s">
        <v>220</v>
      </c>
      <c r="B3" s="3" t="s">
        <v>221</v>
      </c>
      <c r="C3" s="3" t="s">
        <v>9</v>
      </c>
      <c r="D3">
        <v>31</v>
      </c>
      <c r="E3">
        <v>175</v>
      </c>
      <c r="F3">
        <v>81</v>
      </c>
      <c r="G3" s="3" t="s">
        <v>10</v>
      </c>
      <c r="H3">
        <v>26.4</v>
      </c>
    </row>
    <row r="4" spans="1:8" x14ac:dyDescent="0.2">
      <c r="A4" s="3" t="s">
        <v>222</v>
      </c>
      <c r="B4" s="3" t="s">
        <v>223</v>
      </c>
      <c r="C4" s="3" t="s">
        <v>9</v>
      </c>
      <c r="D4">
        <v>41</v>
      </c>
      <c r="E4">
        <v>193</v>
      </c>
      <c r="F4">
        <v>65</v>
      </c>
      <c r="G4" s="3" t="s">
        <v>22</v>
      </c>
      <c r="H4">
        <v>17.5</v>
      </c>
    </row>
    <row r="5" spans="1:8" x14ac:dyDescent="0.2">
      <c r="A5" s="3" t="s">
        <v>224</v>
      </c>
      <c r="B5" s="3" t="s">
        <v>225</v>
      </c>
      <c r="C5" s="3" t="s">
        <v>13</v>
      </c>
      <c r="D5">
        <v>18</v>
      </c>
      <c r="E5">
        <v>165</v>
      </c>
      <c r="F5">
        <v>69</v>
      </c>
      <c r="G5" s="3" t="s">
        <v>10</v>
      </c>
      <c r="H5">
        <v>25.3</v>
      </c>
    </row>
    <row r="6" spans="1:8" x14ac:dyDescent="0.2">
      <c r="A6" s="3" t="s">
        <v>226</v>
      </c>
      <c r="B6" s="3" t="s">
        <v>227</v>
      </c>
      <c r="C6" s="3" t="s">
        <v>13</v>
      </c>
      <c r="D6">
        <v>26</v>
      </c>
      <c r="E6">
        <v>189</v>
      </c>
      <c r="F6">
        <v>56</v>
      </c>
      <c r="G6" s="3" t="s">
        <v>10</v>
      </c>
      <c r="H6">
        <v>15.7</v>
      </c>
    </row>
    <row r="7" spans="1:8" x14ac:dyDescent="0.2">
      <c r="A7" s="3" t="s">
        <v>228</v>
      </c>
      <c r="B7" s="3" t="s">
        <v>229</v>
      </c>
      <c r="C7" s="3" t="s">
        <v>13</v>
      </c>
      <c r="D7">
        <v>43</v>
      </c>
      <c r="E7">
        <v>190</v>
      </c>
      <c r="F7">
        <v>106</v>
      </c>
      <c r="G7" s="3" t="s">
        <v>22</v>
      </c>
      <c r="H7">
        <v>29.4</v>
      </c>
    </row>
    <row r="8" spans="1:8" x14ac:dyDescent="0.2">
      <c r="A8" s="3" t="s">
        <v>230</v>
      </c>
      <c r="B8" s="3" t="s">
        <v>231</v>
      </c>
      <c r="C8" s="3" t="s">
        <v>9</v>
      </c>
      <c r="D8">
        <v>50</v>
      </c>
      <c r="E8">
        <v>195</v>
      </c>
      <c r="F8">
        <v>119</v>
      </c>
      <c r="G8" s="3" t="s">
        <v>17</v>
      </c>
      <c r="H8">
        <v>31.3</v>
      </c>
    </row>
    <row r="9" spans="1:8" x14ac:dyDescent="0.2">
      <c r="A9" s="3" t="s">
        <v>232</v>
      </c>
      <c r="B9" s="3" t="s">
        <v>233</v>
      </c>
      <c r="C9" s="3" t="s">
        <v>9</v>
      </c>
      <c r="D9">
        <v>58</v>
      </c>
      <c r="E9">
        <v>169</v>
      </c>
      <c r="F9">
        <v>92</v>
      </c>
      <c r="G9" s="3" t="s">
        <v>10</v>
      </c>
      <c r="H9">
        <v>32.200000000000003</v>
      </c>
    </row>
    <row r="10" spans="1:8" x14ac:dyDescent="0.2">
      <c r="A10" s="3" t="s">
        <v>234</v>
      </c>
      <c r="B10" s="3" t="s">
        <v>235</v>
      </c>
      <c r="C10" s="3" t="s">
        <v>13</v>
      </c>
      <c r="D10">
        <v>48</v>
      </c>
      <c r="E10">
        <v>185</v>
      </c>
      <c r="F10">
        <v>103</v>
      </c>
      <c r="G10" s="3" t="s">
        <v>10</v>
      </c>
      <c r="H10">
        <v>30.1</v>
      </c>
    </row>
    <row r="11" spans="1:8" x14ac:dyDescent="0.2">
      <c r="A11" s="3" t="s">
        <v>236</v>
      </c>
      <c r="B11" s="3" t="s">
        <v>237</v>
      </c>
      <c r="C11" s="3" t="s">
        <v>9</v>
      </c>
      <c r="D11">
        <v>46</v>
      </c>
      <c r="E11">
        <v>157</v>
      </c>
      <c r="F11">
        <v>95</v>
      </c>
      <c r="G11" s="3" t="s">
        <v>22</v>
      </c>
      <c r="H11">
        <v>38.5</v>
      </c>
    </row>
    <row r="12" spans="1:8" x14ac:dyDescent="0.2">
      <c r="A12" s="3" t="s">
        <v>238</v>
      </c>
      <c r="B12" s="3" t="s">
        <v>239</v>
      </c>
      <c r="C12" s="3" t="s">
        <v>13</v>
      </c>
      <c r="D12">
        <v>58</v>
      </c>
      <c r="E12">
        <v>192</v>
      </c>
      <c r="F12">
        <v>60</v>
      </c>
      <c r="G12" s="3" t="s">
        <v>14</v>
      </c>
      <c r="H12">
        <v>16.3</v>
      </c>
    </row>
    <row r="13" spans="1:8" x14ac:dyDescent="0.2">
      <c r="A13" s="3" t="s">
        <v>240</v>
      </c>
      <c r="B13" s="3" t="s">
        <v>241</v>
      </c>
      <c r="C13" s="3" t="s">
        <v>9</v>
      </c>
      <c r="D13">
        <v>56</v>
      </c>
      <c r="E13">
        <v>190</v>
      </c>
      <c r="F13">
        <v>73</v>
      </c>
      <c r="G13" s="3" t="s">
        <v>17</v>
      </c>
      <c r="H13">
        <v>20.2</v>
      </c>
    </row>
    <row r="14" spans="1:8" x14ac:dyDescent="0.2">
      <c r="A14" s="3" t="s">
        <v>242</v>
      </c>
      <c r="B14" s="3" t="s">
        <v>243</v>
      </c>
      <c r="C14" s="3" t="s">
        <v>13</v>
      </c>
      <c r="D14">
        <v>34</v>
      </c>
      <c r="E14">
        <v>182</v>
      </c>
      <c r="F14">
        <v>91</v>
      </c>
      <c r="G14" s="3" t="s">
        <v>17</v>
      </c>
      <c r="H14">
        <v>27.5</v>
      </c>
    </row>
    <row r="15" spans="1:8" x14ac:dyDescent="0.2">
      <c r="A15" s="3" t="s">
        <v>244</v>
      </c>
      <c r="B15" s="3" t="s">
        <v>245</v>
      </c>
      <c r="C15" s="3" t="s">
        <v>13</v>
      </c>
      <c r="D15">
        <v>26</v>
      </c>
      <c r="E15">
        <v>168</v>
      </c>
      <c r="F15">
        <v>54</v>
      </c>
      <c r="G15" s="3" t="s">
        <v>14</v>
      </c>
      <c r="H15">
        <v>19.100000000000001</v>
      </c>
    </row>
    <row r="16" spans="1:8" x14ac:dyDescent="0.2">
      <c r="A16" s="3" t="s">
        <v>246</v>
      </c>
      <c r="B16" s="3" t="s">
        <v>247</v>
      </c>
      <c r="C16" s="3" t="s">
        <v>9</v>
      </c>
      <c r="D16">
        <v>21</v>
      </c>
      <c r="E16">
        <v>169</v>
      </c>
      <c r="F16">
        <v>109</v>
      </c>
      <c r="G16" s="3" t="s">
        <v>10</v>
      </c>
      <c r="H16">
        <v>38.200000000000003</v>
      </c>
    </row>
    <row r="17" spans="1:8" x14ac:dyDescent="0.2">
      <c r="A17" s="3" t="s">
        <v>248</v>
      </c>
      <c r="B17" s="3" t="s">
        <v>249</v>
      </c>
      <c r="C17" s="3" t="s">
        <v>9</v>
      </c>
      <c r="D17">
        <v>37</v>
      </c>
      <c r="E17">
        <v>183</v>
      </c>
      <c r="F17">
        <v>64</v>
      </c>
      <c r="G17" s="3" t="s">
        <v>10</v>
      </c>
      <c r="H17">
        <v>19.100000000000001</v>
      </c>
    </row>
    <row r="18" spans="1:8" x14ac:dyDescent="0.2">
      <c r="A18" s="3" t="s">
        <v>250</v>
      </c>
      <c r="B18" s="3" t="s">
        <v>251</v>
      </c>
      <c r="C18" s="3" t="s">
        <v>13</v>
      </c>
      <c r="D18">
        <v>38</v>
      </c>
      <c r="E18">
        <v>190</v>
      </c>
      <c r="F18">
        <v>66</v>
      </c>
      <c r="G18" s="3" t="s">
        <v>22</v>
      </c>
      <c r="H18">
        <v>18.3</v>
      </c>
    </row>
    <row r="19" spans="1:8" x14ac:dyDescent="0.2">
      <c r="A19" s="3" t="s">
        <v>252</v>
      </c>
      <c r="B19" s="3" t="s">
        <v>253</v>
      </c>
      <c r="C19" s="3" t="s">
        <v>9</v>
      </c>
      <c r="D19">
        <v>58</v>
      </c>
      <c r="E19">
        <v>182</v>
      </c>
      <c r="F19">
        <v>73</v>
      </c>
      <c r="G19" s="3" t="s">
        <v>22</v>
      </c>
      <c r="H19">
        <v>22</v>
      </c>
    </row>
    <row r="20" spans="1:8" x14ac:dyDescent="0.2">
      <c r="A20" s="3" t="s">
        <v>254</v>
      </c>
      <c r="B20" s="3" t="s">
        <v>255</v>
      </c>
      <c r="C20" s="3" t="s">
        <v>13</v>
      </c>
      <c r="D20">
        <v>54</v>
      </c>
      <c r="E20">
        <v>165</v>
      </c>
      <c r="F20">
        <v>75</v>
      </c>
      <c r="G20" s="3" t="s">
        <v>22</v>
      </c>
      <c r="H20">
        <v>27.5</v>
      </c>
    </row>
    <row r="21" spans="1:8" x14ac:dyDescent="0.2">
      <c r="A21" s="3" t="s">
        <v>256</v>
      </c>
      <c r="B21" s="3" t="s">
        <v>257</v>
      </c>
      <c r="C21" s="3" t="s">
        <v>9</v>
      </c>
      <c r="D21">
        <v>42</v>
      </c>
      <c r="E21">
        <v>159</v>
      </c>
      <c r="F21">
        <v>73</v>
      </c>
      <c r="G21" s="3" t="s">
        <v>14</v>
      </c>
      <c r="H21">
        <v>28.9</v>
      </c>
    </row>
    <row r="22" spans="1:8" x14ac:dyDescent="0.2">
      <c r="A22" s="3" t="s">
        <v>258</v>
      </c>
      <c r="B22" s="3" t="s">
        <v>259</v>
      </c>
      <c r="C22" s="3" t="s">
        <v>9</v>
      </c>
      <c r="D22">
        <v>33</v>
      </c>
      <c r="E22">
        <v>155</v>
      </c>
      <c r="F22">
        <v>114</v>
      </c>
      <c r="G22" s="3" t="s">
        <v>14</v>
      </c>
      <c r="H22">
        <v>47.5</v>
      </c>
    </row>
    <row r="23" spans="1:8" x14ac:dyDescent="0.2">
      <c r="A23" s="3" t="s">
        <v>260</v>
      </c>
      <c r="B23" s="3" t="s">
        <v>259</v>
      </c>
      <c r="C23" s="3" t="s">
        <v>13</v>
      </c>
      <c r="D23">
        <v>33</v>
      </c>
      <c r="E23">
        <v>196</v>
      </c>
      <c r="F23">
        <v>52</v>
      </c>
      <c r="G23" s="3" t="s">
        <v>14</v>
      </c>
      <c r="H23">
        <v>13.5</v>
      </c>
    </row>
    <row r="24" spans="1:8" x14ac:dyDescent="0.2">
      <c r="A24" s="3" t="s">
        <v>261</v>
      </c>
      <c r="B24" s="3" t="s">
        <v>262</v>
      </c>
      <c r="C24" s="3" t="s">
        <v>9</v>
      </c>
      <c r="D24">
        <v>29</v>
      </c>
      <c r="E24">
        <v>168</v>
      </c>
      <c r="F24">
        <v>52</v>
      </c>
      <c r="G24" s="3" t="s">
        <v>14</v>
      </c>
      <c r="H24">
        <v>18.399999999999999</v>
      </c>
    </row>
    <row r="25" spans="1:8" x14ac:dyDescent="0.2">
      <c r="A25" s="3" t="s">
        <v>263</v>
      </c>
      <c r="B25" s="3" t="s">
        <v>264</v>
      </c>
      <c r="C25" s="3" t="s">
        <v>13</v>
      </c>
      <c r="D25">
        <v>27</v>
      </c>
      <c r="E25">
        <v>197</v>
      </c>
      <c r="F25">
        <v>73</v>
      </c>
      <c r="G25" s="3" t="s">
        <v>17</v>
      </c>
      <c r="H25">
        <v>18.8</v>
      </c>
    </row>
    <row r="26" spans="1:8" x14ac:dyDescent="0.2">
      <c r="A26" s="3" t="s">
        <v>265</v>
      </c>
      <c r="B26" s="3" t="s">
        <v>266</v>
      </c>
      <c r="C26" s="3" t="s">
        <v>13</v>
      </c>
      <c r="D26">
        <v>53</v>
      </c>
      <c r="E26">
        <v>185</v>
      </c>
      <c r="F26">
        <v>113</v>
      </c>
      <c r="G26" s="3" t="s">
        <v>17</v>
      </c>
      <c r="H26">
        <v>33</v>
      </c>
    </row>
    <row r="27" spans="1:8" x14ac:dyDescent="0.2">
      <c r="A27" s="3" t="s">
        <v>267</v>
      </c>
      <c r="B27" s="3" t="s">
        <v>268</v>
      </c>
      <c r="C27" s="3" t="s">
        <v>9</v>
      </c>
      <c r="D27">
        <v>34</v>
      </c>
      <c r="E27">
        <v>186</v>
      </c>
      <c r="F27">
        <v>106</v>
      </c>
      <c r="G27" s="3" t="s">
        <v>14</v>
      </c>
      <c r="H27">
        <v>30.6</v>
      </c>
    </row>
    <row r="28" spans="1:8" x14ac:dyDescent="0.2">
      <c r="A28" s="3" t="s">
        <v>269</v>
      </c>
      <c r="B28" s="3" t="s">
        <v>270</v>
      </c>
      <c r="C28" s="3" t="s">
        <v>9</v>
      </c>
      <c r="D28">
        <v>46</v>
      </c>
      <c r="E28">
        <v>155</v>
      </c>
      <c r="F28">
        <v>90</v>
      </c>
      <c r="G28" s="3" t="s">
        <v>10</v>
      </c>
      <c r="H28">
        <v>37.5</v>
      </c>
    </row>
    <row r="29" spans="1:8" x14ac:dyDescent="0.2">
      <c r="A29" s="3" t="s">
        <v>271</v>
      </c>
      <c r="B29" s="3" t="s">
        <v>272</v>
      </c>
      <c r="C29" s="3" t="s">
        <v>13</v>
      </c>
      <c r="D29">
        <v>35</v>
      </c>
      <c r="E29">
        <v>161</v>
      </c>
      <c r="F29">
        <v>101</v>
      </c>
      <c r="G29" s="3" t="s">
        <v>10</v>
      </c>
      <c r="H29">
        <v>39</v>
      </c>
    </row>
    <row r="30" spans="1:8" x14ac:dyDescent="0.2">
      <c r="A30" s="3" t="s">
        <v>273</v>
      </c>
      <c r="B30" s="3" t="s">
        <v>274</v>
      </c>
      <c r="C30" s="3" t="s">
        <v>13</v>
      </c>
      <c r="D30">
        <v>25</v>
      </c>
      <c r="E30">
        <v>159</v>
      </c>
      <c r="F30">
        <v>63</v>
      </c>
      <c r="G30" s="3" t="s">
        <v>14</v>
      </c>
      <c r="H30">
        <v>24.9</v>
      </c>
    </row>
    <row r="31" spans="1:8" x14ac:dyDescent="0.2">
      <c r="A31" s="3" t="s">
        <v>275</v>
      </c>
      <c r="B31" s="3" t="s">
        <v>276</v>
      </c>
      <c r="C31" s="3" t="s">
        <v>9</v>
      </c>
      <c r="D31">
        <v>25</v>
      </c>
      <c r="E31">
        <v>155</v>
      </c>
      <c r="F31">
        <v>107</v>
      </c>
      <c r="G31" s="3" t="s">
        <v>17</v>
      </c>
      <c r="H31">
        <v>44.5</v>
      </c>
    </row>
    <row r="32" spans="1:8" x14ac:dyDescent="0.2">
      <c r="A32" s="3" t="s">
        <v>277</v>
      </c>
      <c r="B32" s="3" t="s">
        <v>278</v>
      </c>
      <c r="C32" s="3" t="s">
        <v>9</v>
      </c>
      <c r="D32">
        <v>49</v>
      </c>
      <c r="E32">
        <v>188</v>
      </c>
      <c r="F32">
        <v>119</v>
      </c>
      <c r="G32" s="3" t="s">
        <v>10</v>
      </c>
      <c r="H32">
        <v>33.700000000000003</v>
      </c>
    </row>
    <row r="33" spans="1:8" x14ac:dyDescent="0.2">
      <c r="A33" s="3" t="s">
        <v>279</v>
      </c>
      <c r="B33" s="3" t="s">
        <v>280</v>
      </c>
      <c r="C33" s="3" t="s">
        <v>9</v>
      </c>
      <c r="D33">
        <v>43</v>
      </c>
      <c r="E33">
        <v>188</v>
      </c>
      <c r="F33">
        <v>104</v>
      </c>
      <c r="G33" s="3" t="s">
        <v>17</v>
      </c>
      <c r="H33">
        <v>29.4</v>
      </c>
    </row>
    <row r="34" spans="1:8" x14ac:dyDescent="0.2">
      <c r="A34" s="3" t="s">
        <v>281</v>
      </c>
      <c r="B34" s="3" t="s">
        <v>282</v>
      </c>
      <c r="C34" s="3" t="s">
        <v>13</v>
      </c>
      <c r="D34">
        <v>27</v>
      </c>
      <c r="E34">
        <v>181</v>
      </c>
      <c r="F34">
        <v>88</v>
      </c>
      <c r="G34" s="3" t="s">
        <v>10</v>
      </c>
      <c r="H34">
        <v>26.9</v>
      </c>
    </row>
    <row r="35" spans="1:8" x14ac:dyDescent="0.2">
      <c r="A35" s="3" t="s">
        <v>283</v>
      </c>
      <c r="B35" s="3" t="s">
        <v>284</v>
      </c>
      <c r="C35" s="3" t="s">
        <v>13</v>
      </c>
      <c r="D35">
        <v>28</v>
      </c>
      <c r="E35">
        <v>155</v>
      </c>
      <c r="F35">
        <v>52</v>
      </c>
      <c r="G35" s="3" t="s">
        <v>22</v>
      </c>
      <c r="H35">
        <v>21.6</v>
      </c>
    </row>
    <row r="36" spans="1:8" x14ac:dyDescent="0.2">
      <c r="A36" s="3" t="s">
        <v>285</v>
      </c>
      <c r="B36" s="3" t="s">
        <v>286</v>
      </c>
      <c r="C36" s="3" t="s">
        <v>13</v>
      </c>
      <c r="D36">
        <v>54</v>
      </c>
      <c r="E36">
        <v>163</v>
      </c>
      <c r="F36">
        <v>84</v>
      </c>
      <c r="G36" s="3" t="s">
        <v>10</v>
      </c>
      <c r="H36">
        <v>31.6</v>
      </c>
    </row>
    <row r="37" spans="1:8" x14ac:dyDescent="0.2">
      <c r="A37" s="3" t="s">
        <v>287</v>
      </c>
      <c r="B37" s="3" t="s">
        <v>288</v>
      </c>
      <c r="C37" s="3" t="s">
        <v>9</v>
      </c>
      <c r="D37">
        <v>20</v>
      </c>
      <c r="E37">
        <v>182</v>
      </c>
      <c r="F37">
        <v>80</v>
      </c>
      <c r="G37" s="3" t="s">
        <v>10</v>
      </c>
      <c r="H37">
        <v>24.2</v>
      </c>
    </row>
    <row r="38" spans="1:8" x14ac:dyDescent="0.2">
      <c r="A38" s="3" t="s">
        <v>289</v>
      </c>
      <c r="B38" s="3" t="s">
        <v>290</v>
      </c>
      <c r="C38" s="3" t="s">
        <v>13</v>
      </c>
      <c r="D38">
        <v>58</v>
      </c>
      <c r="E38">
        <v>197</v>
      </c>
      <c r="F38">
        <v>97</v>
      </c>
      <c r="G38" s="3" t="s">
        <v>17</v>
      </c>
      <c r="H38">
        <v>25</v>
      </c>
    </row>
    <row r="39" spans="1:8" x14ac:dyDescent="0.2">
      <c r="A39" s="3" t="s">
        <v>291</v>
      </c>
      <c r="B39" s="3" t="s">
        <v>292</v>
      </c>
      <c r="C39" s="3" t="s">
        <v>9</v>
      </c>
      <c r="D39">
        <v>23</v>
      </c>
      <c r="E39">
        <v>193</v>
      </c>
      <c r="F39">
        <v>114</v>
      </c>
      <c r="G39" s="3" t="s">
        <v>17</v>
      </c>
      <c r="H39">
        <v>30.6</v>
      </c>
    </row>
    <row r="40" spans="1:8" x14ac:dyDescent="0.2">
      <c r="A40" s="3" t="s">
        <v>293</v>
      </c>
      <c r="B40" s="3" t="s">
        <v>294</v>
      </c>
      <c r="C40" s="3" t="s">
        <v>13</v>
      </c>
      <c r="D40">
        <v>49</v>
      </c>
      <c r="E40">
        <v>187</v>
      </c>
      <c r="F40">
        <v>95</v>
      </c>
      <c r="G40" s="3" t="s">
        <v>14</v>
      </c>
      <c r="H40">
        <v>27.2</v>
      </c>
    </row>
    <row r="41" spans="1:8" x14ac:dyDescent="0.2">
      <c r="A41" s="3" t="s">
        <v>295</v>
      </c>
      <c r="B41" s="3" t="s">
        <v>296</v>
      </c>
      <c r="C41" s="3" t="s">
        <v>9</v>
      </c>
      <c r="D41">
        <v>52</v>
      </c>
      <c r="E41">
        <v>194</v>
      </c>
      <c r="F41">
        <v>66</v>
      </c>
      <c r="G41" s="3" t="s">
        <v>10</v>
      </c>
      <c r="H41">
        <v>17.5</v>
      </c>
    </row>
    <row r="42" spans="1:8" x14ac:dyDescent="0.2">
      <c r="A42" s="3" t="s">
        <v>297</v>
      </c>
      <c r="B42" s="3" t="s">
        <v>298</v>
      </c>
      <c r="C42" s="3" t="s">
        <v>9</v>
      </c>
      <c r="D42">
        <v>51</v>
      </c>
      <c r="E42">
        <v>197</v>
      </c>
      <c r="F42">
        <v>83</v>
      </c>
      <c r="G42" s="3" t="s">
        <v>10</v>
      </c>
      <c r="H42">
        <v>21.4</v>
      </c>
    </row>
    <row r="43" spans="1:8" x14ac:dyDescent="0.2">
      <c r="A43" s="3" t="s">
        <v>299</v>
      </c>
      <c r="B43" s="3" t="s">
        <v>300</v>
      </c>
      <c r="C43" s="3" t="s">
        <v>13</v>
      </c>
      <c r="D43">
        <v>43</v>
      </c>
      <c r="E43">
        <v>187</v>
      </c>
      <c r="F43">
        <v>93</v>
      </c>
      <c r="G43" s="3" t="s">
        <v>22</v>
      </c>
      <c r="H43">
        <v>26.6</v>
      </c>
    </row>
    <row r="44" spans="1:8" x14ac:dyDescent="0.2">
      <c r="A44" s="3" t="s">
        <v>301</v>
      </c>
      <c r="B44" s="3" t="s">
        <v>302</v>
      </c>
      <c r="C44" s="3" t="s">
        <v>9</v>
      </c>
      <c r="D44">
        <v>23</v>
      </c>
      <c r="E44">
        <v>161</v>
      </c>
      <c r="F44">
        <v>56</v>
      </c>
      <c r="G44" s="3" t="s">
        <v>14</v>
      </c>
      <c r="H44">
        <v>21.6</v>
      </c>
    </row>
    <row r="45" spans="1:8" x14ac:dyDescent="0.2">
      <c r="A45" s="3" t="s">
        <v>303</v>
      </c>
      <c r="B45" s="3" t="s">
        <v>304</v>
      </c>
      <c r="C45" s="3" t="s">
        <v>13</v>
      </c>
      <c r="D45">
        <v>52</v>
      </c>
      <c r="E45">
        <v>187</v>
      </c>
      <c r="F45">
        <v>50</v>
      </c>
      <c r="G45" s="3" t="s">
        <v>22</v>
      </c>
      <c r="H45">
        <v>14.3</v>
      </c>
    </row>
    <row r="46" spans="1:8" x14ac:dyDescent="0.2">
      <c r="A46" s="3" t="s">
        <v>305</v>
      </c>
      <c r="B46" s="3" t="s">
        <v>306</v>
      </c>
      <c r="C46" s="3" t="s">
        <v>9</v>
      </c>
      <c r="D46">
        <v>27</v>
      </c>
      <c r="E46">
        <v>190</v>
      </c>
      <c r="F46">
        <v>71</v>
      </c>
      <c r="G46" s="3" t="s">
        <v>10</v>
      </c>
      <c r="H46">
        <v>19.7</v>
      </c>
    </row>
    <row r="47" spans="1:8" x14ac:dyDescent="0.2">
      <c r="A47" s="3" t="s">
        <v>307</v>
      </c>
      <c r="B47" s="3" t="s">
        <v>308</v>
      </c>
      <c r="C47" s="3" t="s">
        <v>13</v>
      </c>
      <c r="D47">
        <v>18</v>
      </c>
      <c r="E47">
        <v>178</v>
      </c>
      <c r="F47">
        <v>116</v>
      </c>
      <c r="G47" s="3" t="s">
        <v>14</v>
      </c>
      <c r="H47">
        <v>36.6</v>
      </c>
    </row>
    <row r="48" spans="1:8" x14ac:dyDescent="0.2">
      <c r="A48" s="3" t="s">
        <v>309</v>
      </c>
      <c r="B48" s="3" t="s">
        <v>310</v>
      </c>
      <c r="C48" s="3" t="s">
        <v>13</v>
      </c>
      <c r="D48">
        <v>27</v>
      </c>
      <c r="E48">
        <v>185</v>
      </c>
      <c r="F48">
        <v>55</v>
      </c>
      <c r="G48" s="3" t="s">
        <v>17</v>
      </c>
      <c r="H48">
        <v>16.100000000000001</v>
      </c>
    </row>
    <row r="49" spans="1:8" x14ac:dyDescent="0.2">
      <c r="A49" s="3" t="s">
        <v>311</v>
      </c>
      <c r="B49" s="3" t="s">
        <v>312</v>
      </c>
      <c r="C49" s="3" t="s">
        <v>9</v>
      </c>
      <c r="D49">
        <v>23</v>
      </c>
      <c r="E49">
        <v>168</v>
      </c>
      <c r="F49">
        <v>68</v>
      </c>
      <c r="G49" s="3" t="s">
        <v>22</v>
      </c>
      <c r="H49">
        <v>24.1</v>
      </c>
    </row>
    <row r="50" spans="1:8" x14ac:dyDescent="0.2">
      <c r="A50" s="3" t="s">
        <v>313</v>
      </c>
      <c r="B50" s="3" t="s">
        <v>314</v>
      </c>
      <c r="C50" s="3" t="s">
        <v>13</v>
      </c>
      <c r="D50">
        <v>50</v>
      </c>
      <c r="E50">
        <v>178</v>
      </c>
      <c r="F50">
        <v>53</v>
      </c>
      <c r="G50" s="3" t="s">
        <v>14</v>
      </c>
      <c r="H50">
        <v>16.7</v>
      </c>
    </row>
    <row r="51" spans="1:8" x14ac:dyDescent="0.2">
      <c r="A51" s="3" t="s">
        <v>315</v>
      </c>
      <c r="B51" s="3" t="s">
        <v>316</v>
      </c>
      <c r="C51" s="3" t="s">
        <v>13</v>
      </c>
      <c r="D51">
        <v>40</v>
      </c>
      <c r="E51">
        <v>193</v>
      </c>
      <c r="F51">
        <v>99</v>
      </c>
      <c r="G51" s="3" t="s">
        <v>22</v>
      </c>
      <c r="H51">
        <v>26.6</v>
      </c>
    </row>
    <row r="52" spans="1:8" x14ac:dyDescent="0.2">
      <c r="A52" s="3" t="s">
        <v>317</v>
      </c>
      <c r="B52" s="3" t="s">
        <v>318</v>
      </c>
      <c r="C52" s="3" t="s">
        <v>9</v>
      </c>
      <c r="D52">
        <v>43</v>
      </c>
      <c r="E52">
        <v>161</v>
      </c>
      <c r="F52">
        <v>66</v>
      </c>
      <c r="G52" s="3" t="s">
        <v>22</v>
      </c>
      <c r="H52">
        <v>25.5</v>
      </c>
    </row>
    <row r="53" spans="1:8" x14ac:dyDescent="0.2">
      <c r="A53" s="3" t="s">
        <v>319</v>
      </c>
      <c r="B53" s="3" t="s">
        <v>320</v>
      </c>
      <c r="C53" s="3" t="s">
        <v>9</v>
      </c>
      <c r="D53">
        <v>57</v>
      </c>
      <c r="E53">
        <v>176</v>
      </c>
      <c r="F53">
        <v>55</v>
      </c>
      <c r="G53" s="3" t="s">
        <v>17</v>
      </c>
      <c r="H53">
        <v>17.8</v>
      </c>
    </row>
    <row r="54" spans="1:8" x14ac:dyDescent="0.2">
      <c r="A54" s="3" t="s">
        <v>321</v>
      </c>
      <c r="B54" s="3" t="s">
        <v>322</v>
      </c>
      <c r="C54" s="3" t="s">
        <v>13</v>
      </c>
      <c r="D54">
        <v>47</v>
      </c>
      <c r="E54">
        <v>182</v>
      </c>
      <c r="F54">
        <v>97</v>
      </c>
      <c r="G54" s="3" t="s">
        <v>22</v>
      </c>
      <c r="H54">
        <v>29.3</v>
      </c>
    </row>
    <row r="55" spans="1:8" x14ac:dyDescent="0.2">
      <c r="A55" s="3" t="s">
        <v>323</v>
      </c>
      <c r="B55" s="3" t="s">
        <v>324</v>
      </c>
      <c r="C55" s="3" t="s">
        <v>13</v>
      </c>
      <c r="D55">
        <v>46</v>
      </c>
      <c r="E55">
        <v>186</v>
      </c>
      <c r="F55">
        <v>117</v>
      </c>
      <c r="G55" s="3" t="s">
        <v>14</v>
      </c>
      <c r="H55">
        <v>33.799999999999997</v>
      </c>
    </row>
    <row r="56" spans="1:8" x14ac:dyDescent="0.2">
      <c r="A56" s="3" t="s">
        <v>325</v>
      </c>
      <c r="B56" s="3" t="s">
        <v>326</v>
      </c>
      <c r="C56" s="3" t="s">
        <v>9</v>
      </c>
      <c r="D56">
        <v>55</v>
      </c>
      <c r="E56">
        <v>186</v>
      </c>
      <c r="F56">
        <v>75</v>
      </c>
      <c r="G56" s="3" t="s">
        <v>10</v>
      </c>
      <c r="H56">
        <v>21.7</v>
      </c>
    </row>
    <row r="57" spans="1:8" x14ac:dyDescent="0.2">
      <c r="A57" s="3" t="s">
        <v>327</v>
      </c>
      <c r="B57" s="3" t="s">
        <v>328</v>
      </c>
      <c r="C57" s="3" t="s">
        <v>9</v>
      </c>
      <c r="D57">
        <v>34</v>
      </c>
      <c r="E57">
        <v>179</v>
      </c>
      <c r="F57">
        <v>71</v>
      </c>
      <c r="G57" s="3" t="s">
        <v>10</v>
      </c>
      <c r="H57">
        <v>22.2</v>
      </c>
    </row>
    <row r="58" spans="1:8" x14ac:dyDescent="0.2">
      <c r="A58" s="3" t="s">
        <v>329</v>
      </c>
      <c r="B58" s="3" t="s">
        <v>330</v>
      </c>
      <c r="C58" s="3" t="s">
        <v>9</v>
      </c>
      <c r="D58">
        <v>31</v>
      </c>
      <c r="E58">
        <v>176</v>
      </c>
      <c r="F58">
        <v>117</v>
      </c>
      <c r="G58" s="3" t="s">
        <v>10</v>
      </c>
      <c r="H58">
        <v>37.799999999999997</v>
      </c>
    </row>
    <row r="59" spans="1:8" x14ac:dyDescent="0.2">
      <c r="A59" s="3" t="s">
        <v>331</v>
      </c>
      <c r="B59" s="3" t="s">
        <v>332</v>
      </c>
      <c r="C59" s="3" t="s">
        <v>13</v>
      </c>
      <c r="D59">
        <v>50</v>
      </c>
      <c r="E59">
        <v>184</v>
      </c>
      <c r="F59">
        <v>65</v>
      </c>
      <c r="G59" s="3" t="s">
        <v>10</v>
      </c>
      <c r="H59">
        <v>19.2</v>
      </c>
    </row>
    <row r="60" spans="1:8" x14ac:dyDescent="0.2">
      <c r="A60" s="3" t="s">
        <v>333</v>
      </c>
      <c r="B60" s="3" t="s">
        <v>334</v>
      </c>
      <c r="C60" s="3" t="s">
        <v>9</v>
      </c>
      <c r="D60">
        <v>50</v>
      </c>
      <c r="E60">
        <v>190</v>
      </c>
      <c r="F60">
        <v>117</v>
      </c>
      <c r="G60" s="3" t="s">
        <v>14</v>
      </c>
      <c r="H60">
        <v>32.4</v>
      </c>
    </row>
    <row r="61" spans="1:8" x14ac:dyDescent="0.2">
      <c r="A61" s="3" t="s">
        <v>335</v>
      </c>
      <c r="B61" s="3" t="s">
        <v>336</v>
      </c>
      <c r="C61" s="3" t="s">
        <v>13</v>
      </c>
      <c r="D61">
        <v>24</v>
      </c>
      <c r="E61">
        <v>168</v>
      </c>
      <c r="F61">
        <v>51</v>
      </c>
      <c r="G61" s="3" t="s">
        <v>17</v>
      </c>
      <c r="H61">
        <v>18.100000000000001</v>
      </c>
    </row>
    <row r="62" spans="1:8" x14ac:dyDescent="0.2">
      <c r="A62" s="3" t="s">
        <v>337</v>
      </c>
      <c r="B62" s="3" t="s">
        <v>338</v>
      </c>
      <c r="C62" s="3" t="s">
        <v>9</v>
      </c>
      <c r="D62">
        <v>49</v>
      </c>
      <c r="E62">
        <v>156</v>
      </c>
      <c r="F62">
        <v>66</v>
      </c>
      <c r="G62" s="3" t="s">
        <v>22</v>
      </c>
      <c r="H62">
        <v>27.1</v>
      </c>
    </row>
    <row r="63" spans="1:8" x14ac:dyDescent="0.2">
      <c r="A63" s="3" t="s">
        <v>339</v>
      </c>
      <c r="B63" s="3" t="s">
        <v>340</v>
      </c>
      <c r="C63" s="3" t="s">
        <v>13</v>
      </c>
      <c r="D63">
        <v>43</v>
      </c>
      <c r="E63">
        <v>190</v>
      </c>
      <c r="F63">
        <v>85</v>
      </c>
      <c r="G63" s="3" t="s">
        <v>22</v>
      </c>
      <c r="H63">
        <v>23.5</v>
      </c>
    </row>
    <row r="64" spans="1:8" x14ac:dyDescent="0.2">
      <c r="A64" s="3" t="s">
        <v>341</v>
      </c>
      <c r="B64" s="3" t="s">
        <v>342</v>
      </c>
      <c r="C64" s="3" t="s">
        <v>9</v>
      </c>
      <c r="D64">
        <v>29</v>
      </c>
      <c r="E64">
        <v>167</v>
      </c>
      <c r="F64">
        <v>109</v>
      </c>
      <c r="G64" s="3" t="s">
        <v>10</v>
      </c>
      <c r="H64">
        <v>39.1</v>
      </c>
    </row>
    <row r="65" spans="1:8" x14ac:dyDescent="0.2">
      <c r="A65" s="3" t="s">
        <v>343</v>
      </c>
      <c r="B65" s="3" t="s">
        <v>344</v>
      </c>
      <c r="C65" s="3" t="s">
        <v>13</v>
      </c>
      <c r="D65">
        <v>23</v>
      </c>
      <c r="E65">
        <v>178</v>
      </c>
      <c r="F65">
        <v>88</v>
      </c>
      <c r="G65" s="3" t="s">
        <v>10</v>
      </c>
      <c r="H65">
        <v>27.8</v>
      </c>
    </row>
    <row r="66" spans="1:8" x14ac:dyDescent="0.2">
      <c r="A66" s="3" t="s">
        <v>345</v>
      </c>
      <c r="B66" s="3" t="s">
        <v>346</v>
      </c>
      <c r="C66" s="3" t="s">
        <v>13</v>
      </c>
      <c r="D66">
        <v>59</v>
      </c>
      <c r="E66">
        <v>163</v>
      </c>
      <c r="F66">
        <v>100</v>
      </c>
      <c r="G66" s="3" t="s">
        <v>17</v>
      </c>
      <c r="H66">
        <v>37.6</v>
      </c>
    </row>
    <row r="67" spans="1:8" x14ac:dyDescent="0.2">
      <c r="A67" s="3" t="s">
        <v>347</v>
      </c>
      <c r="B67" s="3" t="s">
        <v>348</v>
      </c>
      <c r="C67" s="3" t="s">
        <v>13</v>
      </c>
      <c r="D67">
        <v>48</v>
      </c>
      <c r="E67">
        <v>186</v>
      </c>
      <c r="F67">
        <v>91</v>
      </c>
      <c r="G67" s="3" t="s">
        <v>17</v>
      </c>
      <c r="H67">
        <v>26.3</v>
      </c>
    </row>
    <row r="68" spans="1:8" x14ac:dyDescent="0.2">
      <c r="A68" s="3" t="s">
        <v>349</v>
      </c>
      <c r="B68" s="3" t="s">
        <v>350</v>
      </c>
      <c r="C68" s="3" t="s">
        <v>9</v>
      </c>
      <c r="D68">
        <v>31</v>
      </c>
      <c r="E68">
        <v>183</v>
      </c>
      <c r="F68">
        <v>99</v>
      </c>
      <c r="G68" s="3" t="s">
        <v>14</v>
      </c>
      <c r="H68">
        <v>29.6</v>
      </c>
    </row>
    <row r="69" spans="1:8" x14ac:dyDescent="0.2">
      <c r="A69" s="3" t="s">
        <v>351</v>
      </c>
      <c r="B69" s="3" t="s">
        <v>352</v>
      </c>
      <c r="C69" s="3" t="s">
        <v>13</v>
      </c>
      <c r="D69">
        <v>29</v>
      </c>
      <c r="E69">
        <v>171</v>
      </c>
      <c r="F69">
        <v>72</v>
      </c>
      <c r="G69" s="3" t="s">
        <v>10</v>
      </c>
      <c r="H69">
        <v>24.6</v>
      </c>
    </row>
    <row r="70" spans="1:8" x14ac:dyDescent="0.2">
      <c r="A70" s="3" t="s">
        <v>353</v>
      </c>
      <c r="B70" s="3" t="s">
        <v>354</v>
      </c>
      <c r="C70" s="3" t="s">
        <v>9</v>
      </c>
      <c r="D70">
        <v>35</v>
      </c>
      <c r="E70">
        <v>186</v>
      </c>
      <c r="F70">
        <v>67</v>
      </c>
      <c r="G70" s="3" t="s">
        <v>17</v>
      </c>
      <c r="H70">
        <v>19.399999999999999</v>
      </c>
    </row>
    <row r="71" spans="1:8" x14ac:dyDescent="0.2">
      <c r="A71" s="3" t="s">
        <v>355</v>
      </c>
      <c r="B71" s="3" t="s">
        <v>356</v>
      </c>
      <c r="C71" s="3" t="s">
        <v>9</v>
      </c>
      <c r="D71">
        <v>42</v>
      </c>
      <c r="E71">
        <v>194</v>
      </c>
      <c r="F71">
        <v>68</v>
      </c>
      <c r="G71" s="3" t="s">
        <v>22</v>
      </c>
      <c r="H71">
        <v>18.100000000000001</v>
      </c>
    </row>
    <row r="72" spans="1:8" x14ac:dyDescent="0.2">
      <c r="A72" s="3" t="s">
        <v>357</v>
      </c>
      <c r="B72" s="3" t="s">
        <v>358</v>
      </c>
      <c r="C72" s="3" t="s">
        <v>13</v>
      </c>
      <c r="D72">
        <v>42</v>
      </c>
      <c r="E72">
        <v>164</v>
      </c>
      <c r="F72">
        <v>70</v>
      </c>
      <c r="G72" s="3" t="s">
        <v>22</v>
      </c>
      <c r="H72">
        <v>26</v>
      </c>
    </row>
    <row r="73" spans="1:8" x14ac:dyDescent="0.2">
      <c r="A73" s="3" t="s">
        <v>359</v>
      </c>
      <c r="B73" s="3" t="s">
        <v>360</v>
      </c>
      <c r="C73" s="3" t="s">
        <v>9</v>
      </c>
      <c r="D73">
        <v>56</v>
      </c>
      <c r="E73">
        <v>187</v>
      </c>
      <c r="F73">
        <v>94</v>
      </c>
      <c r="G73" s="3" t="s">
        <v>17</v>
      </c>
      <c r="H73">
        <v>26.9</v>
      </c>
    </row>
    <row r="74" spans="1:8" x14ac:dyDescent="0.2">
      <c r="A74" s="3" t="s">
        <v>361</v>
      </c>
      <c r="B74" s="3" t="s">
        <v>362</v>
      </c>
      <c r="C74" s="3" t="s">
        <v>9</v>
      </c>
      <c r="D74">
        <v>40</v>
      </c>
      <c r="E74">
        <v>173</v>
      </c>
      <c r="F74">
        <v>76</v>
      </c>
      <c r="G74" s="3" t="s">
        <v>14</v>
      </c>
      <c r="H74">
        <v>25.4</v>
      </c>
    </row>
    <row r="75" spans="1:8" x14ac:dyDescent="0.2">
      <c r="A75" s="3" t="s">
        <v>363</v>
      </c>
      <c r="B75" s="3" t="s">
        <v>364</v>
      </c>
      <c r="C75" s="3" t="s">
        <v>13</v>
      </c>
      <c r="D75">
        <v>19</v>
      </c>
      <c r="E75">
        <v>192</v>
      </c>
      <c r="F75">
        <v>110</v>
      </c>
      <c r="G75" s="3" t="s">
        <v>17</v>
      </c>
      <c r="H75">
        <v>29.8</v>
      </c>
    </row>
    <row r="76" spans="1:8" x14ac:dyDescent="0.2">
      <c r="A76" s="3" t="s">
        <v>365</v>
      </c>
      <c r="B76" s="3" t="s">
        <v>366</v>
      </c>
      <c r="C76" s="3" t="s">
        <v>9</v>
      </c>
      <c r="D76">
        <v>29</v>
      </c>
      <c r="E76">
        <v>197</v>
      </c>
      <c r="F76">
        <v>92</v>
      </c>
      <c r="G76" s="3" t="s">
        <v>10</v>
      </c>
      <c r="H76">
        <v>23.7</v>
      </c>
    </row>
    <row r="77" spans="1:8" x14ac:dyDescent="0.2">
      <c r="A77" s="3" t="s">
        <v>367</v>
      </c>
      <c r="B77" s="3" t="s">
        <v>368</v>
      </c>
      <c r="C77" s="3" t="s">
        <v>9</v>
      </c>
      <c r="D77">
        <v>60</v>
      </c>
      <c r="E77">
        <v>162</v>
      </c>
      <c r="F77">
        <v>115</v>
      </c>
      <c r="G77" s="3" t="s">
        <v>22</v>
      </c>
      <c r="H77">
        <v>43.8</v>
      </c>
    </row>
    <row r="78" spans="1:8" x14ac:dyDescent="0.2">
      <c r="A78" s="3" t="s">
        <v>369</v>
      </c>
      <c r="B78" s="3" t="s">
        <v>370</v>
      </c>
      <c r="C78" s="3" t="s">
        <v>13</v>
      </c>
      <c r="D78">
        <v>19</v>
      </c>
      <c r="E78">
        <v>160</v>
      </c>
      <c r="F78">
        <v>82</v>
      </c>
      <c r="G78" s="3" t="s">
        <v>17</v>
      </c>
      <c r="H78">
        <v>32</v>
      </c>
    </row>
    <row r="79" spans="1:8" x14ac:dyDescent="0.2">
      <c r="A79" s="3" t="s">
        <v>371</v>
      </c>
      <c r="B79" s="3" t="s">
        <v>372</v>
      </c>
      <c r="C79" s="3" t="s">
        <v>13</v>
      </c>
      <c r="D79">
        <v>27</v>
      </c>
      <c r="E79">
        <v>168</v>
      </c>
      <c r="F79">
        <v>101</v>
      </c>
      <c r="G79" s="3" t="s">
        <v>22</v>
      </c>
      <c r="H79">
        <v>35.799999999999997</v>
      </c>
    </row>
    <row r="80" spans="1:8" x14ac:dyDescent="0.2">
      <c r="A80" s="3" t="s">
        <v>373</v>
      </c>
      <c r="B80" s="3" t="s">
        <v>374</v>
      </c>
      <c r="C80" s="3" t="s">
        <v>9</v>
      </c>
      <c r="D80">
        <v>42</v>
      </c>
      <c r="E80">
        <v>197</v>
      </c>
      <c r="F80">
        <v>113</v>
      </c>
      <c r="G80" s="3" t="s">
        <v>17</v>
      </c>
      <c r="H80">
        <v>29.1</v>
      </c>
    </row>
    <row r="81" spans="1:8" x14ac:dyDescent="0.2">
      <c r="A81" s="3" t="s">
        <v>375</v>
      </c>
      <c r="B81" s="3" t="s">
        <v>376</v>
      </c>
      <c r="C81" s="3" t="s">
        <v>9</v>
      </c>
      <c r="D81">
        <v>27</v>
      </c>
      <c r="E81">
        <v>182</v>
      </c>
      <c r="F81">
        <v>94</v>
      </c>
      <c r="G81" s="3" t="s">
        <v>17</v>
      </c>
      <c r="H81">
        <v>28.4</v>
      </c>
    </row>
    <row r="82" spans="1:8" x14ac:dyDescent="0.2">
      <c r="A82" s="3" t="s">
        <v>377</v>
      </c>
      <c r="B82" s="3" t="s">
        <v>378</v>
      </c>
      <c r="C82" s="3" t="s">
        <v>9</v>
      </c>
      <c r="D82">
        <v>54</v>
      </c>
      <c r="E82">
        <v>171</v>
      </c>
      <c r="F82">
        <v>96</v>
      </c>
      <c r="G82" s="3" t="s">
        <v>17</v>
      </c>
      <c r="H82">
        <v>32.799999999999997</v>
      </c>
    </row>
    <row r="83" spans="1:8" x14ac:dyDescent="0.2">
      <c r="A83" s="3" t="s">
        <v>379</v>
      </c>
      <c r="B83" s="3" t="s">
        <v>380</v>
      </c>
      <c r="C83" s="3" t="s">
        <v>9</v>
      </c>
      <c r="D83">
        <v>19</v>
      </c>
      <c r="E83">
        <v>189</v>
      </c>
      <c r="F83">
        <v>85</v>
      </c>
      <c r="G83" s="3" t="s">
        <v>14</v>
      </c>
      <c r="H83">
        <v>23.8</v>
      </c>
    </row>
    <row r="84" spans="1:8" x14ac:dyDescent="0.2">
      <c r="A84" s="3" t="s">
        <v>381</v>
      </c>
      <c r="B84" s="3" t="s">
        <v>376</v>
      </c>
      <c r="C84" s="3" t="s">
        <v>9</v>
      </c>
      <c r="D84">
        <v>52</v>
      </c>
      <c r="E84">
        <v>157</v>
      </c>
      <c r="F84">
        <v>112</v>
      </c>
      <c r="G84" s="3" t="s">
        <v>14</v>
      </c>
      <c r="H84">
        <v>45.4</v>
      </c>
    </row>
    <row r="85" spans="1:8" x14ac:dyDescent="0.2">
      <c r="A85" s="3" t="s">
        <v>382</v>
      </c>
      <c r="B85" s="3" t="s">
        <v>383</v>
      </c>
      <c r="C85" s="3" t="s">
        <v>13</v>
      </c>
      <c r="D85">
        <v>33</v>
      </c>
      <c r="E85">
        <v>169</v>
      </c>
      <c r="F85">
        <v>64</v>
      </c>
      <c r="G85" s="3" t="s">
        <v>22</v>
      </c>
      <c r="H85">
        <v>22.4</v>
      </c>
    </row>
    <row r="86" spans="1:8" x14ac:dyDescent="0.2">
      <c r="A86" s="3" t="s">
        <v>384</v>
      </c>
      <c r="B86" s="3" t="s">
        <v>385</v>
      </c>
      <c r="C86" s="3" t="s">
        <v>9</v>
      </c>
      <c r="D86">
        <v>35</v>
      </c>
      <c r="E86">
        <v>182</v>
      </c>
      <c r="F86">
        <v>65</v>
      </c>
      <c r="G86" s="3" t="s">
        <v>10</v>
      </c>
      <c r="H86">
        <v>19.600000000000001</v>
      </c>
    </row>
    <row r="87" spans="1:8" x14ac:dyDescent="0.2">
      <c r="A87" s="3" t="s">
        <v>386</v>
      </c>
      <c r="B87" s="3" t="s">
        <v>387</v>
      </c>
      <c r="C87" s="3" t="s">
        <v>13</v>
      </c>
      <c r="D87">
        <v>52</v>
      </c>
      <c r="E87">
        <v>159</v>
      </c>
      <c r="F87">
        <v>78</v>
      </c>
      <c r="G87" s="3" t="s">
        <v>10</v>
      </c>
      <c r="H87">
        <v>30.9</v>
      </c>
    </row>
    <row r="88" spans="1:8" x14ac:dyDescent="0.2">
      <c r="A88" s="3" t="s">
        <v>388</v>
      </c>
      <c r="B88" s="3" t="s">
        <v>389</v>
      </c>
      <c r="C88" s="3" t="s">
        <v>9</v>
      </c>
      <c r="D88">
        <v>49</v>
      </c>
      <c r="E88">
        <v>189</v>
      </c>
      <c r="F88">
        <v>107</v>
      </c>
      <c r="G88" s="3" t="s">
        <v>22</v>
      </c>
      <c r="H88">
        <v>30</v>
      </c>
    </row>
    <row r="89" spans="1:8" x14ac:dyDescent="0.2">
      <c r="A89" s="3" t="s">
        <v>390</v>
      </c>
      <c r="B89" s="3" t="s">
        <v>391</v>
      </c>
      <c r="C89" s="3" t="s">
        <v>9</v>
      </c>
      <c r="D89">
        <v>45</v>
      </c>
      <c r="E89">
        <v>188</v>
      </c>
      <c r="F89">
        <v>72</v>
      </c>
      <c r="G89" s="3" t="s">
        <v>17</v>
      </c>
      <c r="H89">
        <v>20.399999999999999</v>
      </c>
    </row>
    <row r="90" spans="1:8" x14ac:dyDescent="0.2">
      <c r="A90" s="3" t="s">
        <v>392</v>
      </c>
      <c r="B90" s="3" t="s">
        <v>393</v>
      </c>
      <c r="C90" s="3" t="s">
        <v>9</v>
      </c>
      <c r="D90">
        <v>22</v>
      </c>
      <c r="E90">
        <v>175</v>
      </c>
      <c r="F90">
        <v>120</v>
      </c>
      <c r="G90" s="3" t="s">
        <v>10</v>
      </c>
      <c r="H90">
        <v>39.200000000000003</v>
      </c>
    </row>
    <row r="91" spans="1:8" x14ac:dyDescent="0.2">
      <c r="A91" s="3" t="s">
        <v>394</v>
      </c>
      <c r="B91" s="3" t="s">
        <v>395</v>
      </c>
      <c r="C91" s="3" t="s">
        <v>13</v>
      </c>
      <c r="D91">
        <v>28</v>
      </c>
      <c r="E91">
        <v>177</v>
      </c>
      <c r="F91">
        <v>94</v>
      </c>
      <c r="G91" s="3" t="s">
        <v>10</v>
      </c>
      <c r="H91">
        <v>30</v>
      </c>
    </row>
    <row r="92" spans="1:8" x14ac:dyDescent="0.2">
      <c r="A92" s="3" t="s">
        <v>396</v>
      </c>
      <c r="B92" s="3" t="s">
        <v>397</v>
      </c>
      <c r="C92" s="3" t="s">
        <v>13</v>
      </c>
      <c r="D92">
        <v>45</v>
      </c>
      <c r="E92">
        <v>167</v>
      </c>
      <c r="F92">
        <v>52</v>
      </c>
      <c r="G92" s="3" t="s">
        <v>17</v>
      </c>
      <c r="H92">
        <v>18.600000000000001</v>
      </c>
    </row>
    <row r="93" spans="1:8" x14ac:dyDescent="0.2">
      <c r="A93" s="3" t="s">
        <v>398</v>
      </c>
      <c r="B93" s="3" t="s">
        <v>399</v>
      </c>
      <c r="C93" s="3" t="s">
        <v>13</v>
      </c>
      <c r="D93">
        <v>24</v>
      </c>
      <c r="E93">
        <v>191</v>
      </c>
      <c r="F93">
        <v>117</v>
      </c>
      <c r="G93" s="3" t="s">
        <v>17</v>
      </c>
      <c r="H93">
        <v>32.1</v>
      </c>
    </row>
    <row r="94" spans="1:8" x14ac:dyDescent="0.2">
      <c r="A94" s="3" t="s">
        <v>400</v>
      </c>
      <c r="B94" s="3" t="s">
        <v>401</v>
      </c>
      <c r="C94" s="3" t="s">
        <v>13</v>
      </c>
      <c r="D94">
        <v>54</v>
      </c>
      <c r="E94">
        <v>175</v>
      </c>
      <c r="F94">
        <v>71</v>
      </c>
      <c r="G94" s="3" t="s">
        <v>17</v>
      </c>
      <c r="H94">
        <v>23.2</v>
      </c>
    </row>
    <row r="95" spans="1:8" x14ac:dyDescent="0.2">
      <c r="A95" s="3" t="s">
        <v>402</v>
      </c>
      <c r="B95" s="3" t="s">
        <v>403</v>
      </c>
      <c r="C95" s="3" t="s">
        <v>9</v>
      </c>
      <c r="D95">
        <v>20</v>
      </c>
      <c r="E95">
        <v>196</v>
      </c>
      <c r="F95">
        <v>77</v>
      </c>
      <c r="G95" s="3" t="s">
        <v>10</v>
      </c>
      <c r="H95">
        <v>20</v>
      </c>
    </row>
    <row r="96" spans="1:8" x14ac:dyDescent="0.2">
      <c r="A96" s="3" t="s">
        <v>404</v>
      </c>
      <c r="B96" s="3" t="s">
        <v>405</v>
      </c>
      <c r="C96" s="3" t="s">
        <v>9</v>
      </c>
      <c r="D96">
        <v>45</v>
      </c>
      <c r="E96">
        <v>163</v>
      </c>
      <c r="F96">
        <v>80</v>
      </c>
      <c r="G96" s="3" t="s">
        <v>17</v>
      </c>
      <c r="H96">
        <v>30.1</v>
      </c>
    </row>
    <row r="97" spans="1:8" x14ac:dyDescent="0.2">
      <c r="A97" s="3" t="s">
        <v>406</v>
      </c>
      <c r="B97" s="3" t="s">
        <v>407</v>
      </c>
      <c r="C97" s="3" t="s">
        <v>13</v>
      </c>
      <c r="D97">
        <v>31</v>
      </c>
      <c r="E97">
        <v>178</v>
      </c>
      <c r="F97">
        <v>104</v>
      </c>
      <c r="G97" s="3" t="s">
        <v>10</v>
      </c>
      <c r="H97">
        <v>32.799999999999997</v>
      </c>
    </row>
    <row r="98" spans="1:8" x14ac:dyDescent="0.2">
      <c r="A98" s="3" t="s">
        <v>408</v>
      </c>
      <c r="B98" s="3" t="s">
        <v>409</v>
      </c>
      <c r="C98" s="3" t="s">
        <v>13</v>
      </c>
      <c r="D98">
        <v>44</v>
      </c>
      <c r="E98">
        <v>175</v>
      </c>
      <c r="F98">
        <v>99</v>
      </c>
      <c r="G98" s="3" t="s">
        <v>22</v>
      </c>
      <c r="H98">
        <v>32.299999999999997</v>
      </c>
    </row>
    <row r="99" spans="1:8" x14ac:dyDescent="0.2">
      <c r="A99" s="3" t="s">
        <v>410</v>
      </c>
      <c r="B99" s="3" t="s">
        <v>411</v>
      </c>
      <c r="C99" s="3" t="s">
        <v>13</v>
      </c>
      <c r="D99">
        <v>34</v>
      </c>
      <c r="E99">
        <v>185</v>
      </c>
      <c r="F99">
        <v>115</v>
      </c>
      <c r="G99" s="3" t="s">
        <v>10</v>
      </c>
      <c r="H99">
        <v>33.6</v>
      </c>
    </row>
    <row r="100" spans="1:8" x14ac:dyDescent="0.2">
      <c r="A100" s="3" t="s">
        <v>412</v>
      </c>
      <c r="B100" s="3" t="s">
        <v>413</v>
      </c>
      <c r="C100" s="3" t="s">
        <v>9</v>
      </c>
      <c r="D100">
        <v>34</v>
      </c>
      <c r="E100">
        <v>197</v>
      </c>
      <c r="F100">
        <v>117</v>
      </c>
      <c r="G100" s="3" t="s">
        <v>10</v>
      </c>
      <c r="H100">
        <v>30.1</v>
      </c>
    </row>
    <row r="101" spans="1:8" x14ac:dyDescent="0.2">
      <c r="A101" s="3" t="s">
        <v>414</v>
      </c>
      <c r="B101" s="3" t="s">
        <v>415</v>
      </c>
      <c r="C101" s="3" t="s">
        <v>9</v>
      </c>
      <c r="D101">
        <v>49</v>
      </c>
      <c r="E101">
        <v>164</v>
      </c>
      <c r="F101">
        <v>103</v>
      </c>
      <c r="G101" s="3" t="s">
        <v>22</v>
      </c>
      <c r="H101">
        <v>38.299999999999997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A2DB-1592-41E4-A450-EFCCAA2AEB7D}">
  <dimension ref="A1:H101"/>
  <sheetViews>
    <sheetView workbookViewId="0"/>
  </sheetViews>
  <sheetFormatPr defaultRowHeight="14.25" x14ac:dyDescent="0.2"/>
  <cols>
    <col min="1" max="1" width="12.125" bestFit="1" customWidth="1"/>
    <col min="2" max="2" width="11.75" bestFit="1" customWidth="1"/>
    <col min="3" max="3" width="9.25" bestFit="1" customWidth="1"/>
    <col min="4" max="4" width="6.125" bestFit="1" customWidth="1"/>
    <col min="5" max="5" width="8.5" bestFit="1" customWidth="1"/>
    <col min="6" max="6" width="7.5" bestFit="1" customWidth="1"/>
    <col min="7" max="7" width="9.5" bestFit="1" customWidth="1"/>
    <col min="8" max="8" width="6.3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416</v>
      </c>
    </row>
    <row r="2" spans="1:8" x14ac:dyDescent="0.2">
      <c r="A2" s="3" t="s">
        <v>218</v>
      </c>
      <c r="B2" s="3" t="s">
        <v>219</v>
      </c>
      <c r="C2" s="3" t="s">
        <v>9</v>
      </c>
      <c r="D2">
        <v>40</v>
      </c>
      <c r="E2">
        <v>193</v>
      </c>
      <c r="F2">
        <v>116</v>
      </c>
      <c r="G2" s="3" t="s">
        <v>22</v>
      </c>
      <c r="H2">
        <v>31.1</v>
      </c>
    </row>
    <row r="3" spans="1:8" x14ac:dyDescent="0.2">
      <c r="A3" s="3" t="s">
        <v>220</v>
      </c>
      <c r="B3" s="3" t="s">
        <v>221</v>
      </c>
      <c r="C3" s="3" t="s">
        <v>9</v>
      </c>
      <c r="D3">
        <v>31</v>
      </c>
      <c r="E3">
        <v>175</v>
      </c>
      <c r="F3">
        <v>81</v>
      </c>
      <c r="G3" s="3" t="s">
        <v>10</v>
      </c>
      <c r="H3">
        <v>26.4</v>
      </c>
    </row>
    <row r="4" spans="1:8" x14ac:dyDescent="0.2">
      <c r="A4" s="3" t="s">
        <v>222</v>
      </c>
      <c r="B4" s="3" t="s">
        <v>223</v>
      </c>
      <c r="C4" s="3" t="s">
        <v>9</v>
      </c>
      <c r="D4">
        <v>41</v>
      </c>
      <c r="E4">
        <v>193</v>
      </c>
      <c r="F4">
        <v>65</v>
      </c>
      <c r="G4" s="3" t="s">
        <v>22</v>
      </c>
      <c r="H4">
        <v>17.5</v>
      </c>
    </row>
    <row r="5" spans="1:8" x14ac:dyDescent="0.2">
      <c r="A5" s="3" t="s">
        <v>224</v>
      </c>
      <c r="B5" s="3" t="s">
        <v>225</v>
      </c>
      <c r="C5" s="3" t="s">
        <v>13</v>
      </c>
      <c r="D5">
        <v>18</v>
      </c>
      <c r="E5">
        <v>165</v>
      </c>
      <c r="F5">
        <v>69</v>
      </c>
      <c r="G5" s="3" t="s">
        <v>10</v>
      </c>
      <c r="H5">
        <v>25.3</v>
      </c>
    </row>
    <row r="6" spans="1:8" x14ac:dyDescent="0.2">
      <c r="A6" s="3" t="s">
        <v>226</v>
      </c>
      <c r="B6" s="3" t="s">
        <v>227</v>
      </c>
      <c r="C6" s="3" t="s">
        <v>13</v>
      </c>
      <c r="D6">
        <v>26</v>
      </c>
      <c r="E6">
        <v>189</v>
      </c>
      <c r="F6">
        <v>56</v>
      </c>
      <c r="G6" s="3" t="s">
        <v>10</v>
      </c>
      <c r="H6">
        <v>15.7</v>
      </c>
    </row>
    <row r="7" spans="1:8" x14ac:dyDescent="0.2">
      <c r="A7" s="3" t="s">
        <v>228</v>
      </c>
      <c r="B7" s="3" t="s">
        <v>229</v>
      </c>
      <c r="C7" s="3" t="s">
        <v>13</v>
      </c>
      <c r="D7">
        <v>43</v>
      </c>
      <c r="E7">
        <v>190</v>
      </c>
      <c r="F7">
        <v>106</v>
      </c>
      <c r="G7" s="3" t="s">
        <v>22</v>
      </c>
      <c r="H7">
        <v>29.4</v>
      </c>
    </row>
    <row r="8" spans="1:8" x14ac:dyDescent="0.2">
      <c r="A8" s="3" t="s">
        <v>230</v>
      </c>
      <c r="B8" s="3" t="s">
        <v>231</v>
      </c>
      <c r="C8" s="3" t="s">
        <v>9</v>
      </c>
      <c r="D8">
        <v>50</v>
      </c>
      <c r="E8">
        <v>195</v>
      </c>
      <c r="F8">
        <v>119</v>
      </c>
      <c r="G8" s="3" t="s">
        <v>17</v>
      </c>
      <c r="H8">
        <v>31.3</v>
      </c>
    </row>
    <row r="9" spans="1:8" x14ac:dyDescent="0.2">
      <c r="A9" s="3" t="s">
        <v>232</v>
      </c>
      <c r="B9" s="3" t="s">
        <v>233</v>
      </c>
      <c r="C9" s="3" t="s">
        <v>9</v>
      </c>
      <c r="D9">
        <v>58</v>
      </c>
      <c r="E9">
        <v>169</v>
      </c>
      <c r="F9">
        <v>92</v>
      </c>
      <c r="G9" s="3" t="s">
        <v>10</v>
      </c>
      <c r="H9">
        <v>32.200000000000003</v>
      </c>
    </row>
    <row r="10" spans="1:8" x14ac:dyDescent="0.2">
      <c r="A10" s="3" t="s">
        <v>234</v>
      </c>
      <c r="B10" s="3" t="s">
        <v>235</v>
      </c>
      <c r="C10" s="3" t="s">
        <v>13</v>
      </c>
      <c r="D10">
        <v>48</v>
      </c>
      <c r="E10">
        <v>185</v>
      </c>
      <c r="F10">
        <v>103</v>
      </c>
      <c r="G10" s="3" t="s">
        <v>10</v>
      </c>
      <c r="H10">
        <v>30.1</v>
      </c>
    </row>
    <row r="11" spans="1:8" x14ac:dyDescent="0.2">
      <c r="A11" s="3" t="s">
        <v>236</v>
      </c>
      <c r="B11" s="3" t="s">
        <v>237</v>
      </c>
      <c r="C11" s="3" t="s">
        <v>9</v>
      </c>
      <c r="D11">
        <v>46</v>
      </c>
      <c r="E11">
        <v>157</v>
      </c>
      <c r="F11">
        <v>95</v>
      </c>
      <c r="G11" s="3" t="s">
        <v>22</v>
      </c>
      <c r="H11">
        <v>38.5</v>
      </c>
    </row>
    <row r="12" spans="1:8" x14ac:dyDescent="0.2">
      <c r="A12" s="3" t="s">
        <v>238</v>
      </c>
      <c r="B12" s="3" t="s">
        <v>239</v>
      </c>
      <c r="C12" s="3" t="s">
        <v>13</v>
      </c>
      <c r="D12">
        <v>58</v>
      </c>
      <c r="E12">
        <v>192</v>
      </c>
      <c r="F12">
        <v>60</v>
      </c>
      <c r="G12" s="3" t="s">
        <v>14</v>
      </c>
      <c r="H12">
        <v>16.3</v>
      </c>
    </row>
    <row r="13" spans="1:8" x14ac:dyDescent="0.2">
      <c r="A13" s="3" t="s">
        <v>240</v>
      </c>
      <c r="B13" s="3" t="s">
        <v>241</v>
      </c>
      <c r="C13" s="3" t="s">
        <v>9</v>
      </c>
      <c r="D13">
        <v>56</v>
      </c>
      <c r="E13">
        <v>190</v>
      </c>
      <c r="F13">
        <v>73</v>
      </c>
      <c r="G13" s="3" t="s">
        <v>17</v>
      </c>
      <c r="H13">
        <v>20.2</v>
      </c>
    </row>
    <row r="14" spans="1:8" x14ac:dyDescent="0.2">
      <c r="A14" s="3" t="s">
        <v>242</v>
      </c>
      <c r="B14" s="3" t="s">
        <v>243</v>
      </c>
      <c r="C14" s="3" t="s">
        <v>13</v>
      </c>
      <c r="D14">
        <v>34</v>
      </c>
      <c r="E14">
        <v>182</v>
      </c>
      <c r="F14">
        <v>91</v>
      </c>
      <c r="G14" s="3" t="s">
        <v>17</v>
      </c>
      <c r="H14">
        <v>27.5</v>
      </c>
    </row>
    <row r="15" spans="1:8" x14ac:dyDescent="0.2">
      <c r="A15" s="3" t="s">
        <v>244</v>
      </c>
      <c r="B15" s="3" t="s">
        <v>245</v>
      </c>
      <c r="C15" s="3" t="s">
        <v>13</v>
      </c>
      <c r="D15">
        <v>26</v>
      </c>
      <c r="E15">
        <v>168</v>
      </c>
      <c r="F15">
        <v>54</v>
      </c>
      <c r="G15" s="3" t="s">
        <v>14</v>
      </c>
      <c r="H15">
        <v>19.100000000000001</v>
      </c>
    </row>
    <row r="16" spans="1:8" x14ac:dyDescent="0.2">
      <c r="A16" s="3" t="s">
        <v>246</v>
      </c>
      <c r="B16" s="3" t="s">
        <v>247</v>
      </c>
      <c r="C16" s="3" t="s">
        <v>9</v>
      </c>
      <c r="D16">
        <v>21</v>
      </c>
      <c r="E16">
        <v>169</v>
      </c>
      <c r="F16">
        <v>109</v>
      </c>
      <c r="G16" s="3" t="s">
        <v>10</v>
      </c>
      <c r="H16">
        <v>38.200000000000003</v>
      </c>
    </row>
    <row r="17" spans="1:8" x14ac:dyDescent="0.2">
      <c r="A17" s="3" t="s">
        <v>248</v>
      </c>
      <c r="B17" s="3" t="s">
        <v>249</v>
      </c>
      <c r="C17" s="3" t="s">
        <v>9</v>
      </c>
      <c r="D17">
        <v>37</v>
      </c>
      <c r="E17">
        <v>183</v>
      </c>
      <c r="F17">
        <v>64</v>
      </c>
      <c r="G17" s="3" t="s">
        <v>10</v>
      </c>
      <c r="H17">
        <v>19.100000000000001</v>
      </c>
    </row>
    <row r="18" spans="1:8" x14ac:dyDescent="0.2">
      <c r="A18" s="3" t="s">
        <v>250</v>
      </c>
      <c r="B18" s="3" t="s">
        <v>251</v>
      </c>
      <c r="C18" s="3" t="s">
        <v>13</v>
      </c>
      <c r="D18">
        <v>38</v>
      </c>
      <c r="E18">
        <v>190</v>
      </c>
      <c r="F18">
        <v>66</v>
      </c>
      <c r="G18" s="3" t="s">
        <v>22</v>
      </c>
      <c r="H18">
        <v>18.3</v>
      </c>
    </row>
    <row r="19" spans="1:8" x14ac:dyDescent="0.2">
      <c r="A19" s="3" t="s">
        <v>252</v>
      </c>
      <c r="B19" s="3" t="s">
        <v>253</v>
      </c>
      <c r="C19" s="3" t="s">
        <v>9</v>
      </c>
      <c r="D19">
        <v>58</v>
      </c>
      <c r="E19">
        <v>182</v>
      </c>
      <c r="F19">
        <v>73</v>
      </c>
      <c r="G19" s="3" t="s">
        <v>22</v>
      </c>
      <c r="H19">
        <v>22</v>
      </c>
    </row>
    <row r="20" spans="1:8" x14ac:dyDescent="0.2">
      <c r="A20" s="3" t="s">
        <v>254</v>
      </c>
      <c r="B20" s="3" t="s">
        <v>255</v>
      </c>
      <c r="C20" s="3" t="s">
        <v>13</v>
      </c>
      <c r="D20">
        <v>54</v>
      </c>
      <c r="E20">
        <v>165</v>
      </c>
      <c r="F20">
        <v>75</v>
      </c>
      <c r="G20" s="3" t="s">
        <v>22</v>
      </c>
      <c r="H20">
        <v>27.5</v>
      </c>
    </row>
    <row r="21" spans="1:8" x14ac:dyDescent="0.2">
      <c r="A21" s="3" t="s">
        <v>256</v>
      </c>
      <c r="B21" s="3" t="s">
        <v>257</v>
      </c>
      <c r="C21" s="3" t="s">
        <v>9</v>
      </c>
      <c r="D21">
        <v>42</v>
      </c>
      <c r="E21">
        <v>159</v>
      </c>
      <c r="F21">
        <v>73</v>
      </c>
      <c r="G21" s="3" t="s">
        <v>14</v>
      </c>
      <c r="H21">
        <v>28.9</v>
      </c>
    </row>
    <row r="22" spans="1:8" x14ac:dyDescent="0.2">
      <c r="A22" s="3" t="s">
        <v>258</v>
      </c>
      <c r="B22" s="3" t="s">
        <v>259</v>
      </c>
      <c r="C22" s="3" t="s">
        <v>9</v>
      </c>
      <c r="D22">
        <v>33</v>
      </c>
      <c r="E22">
        <v>155</v>
      </c>
      <c r="F22">
        <v>114</v>
      </c>
      <c r="G22" s="3" t="s">
        <v>14</v>
      </c>
      <c r="H22">
        <v>47.5</v>
      </c>
    </row>
    <row r="23" spans="1:8" x14ac:dyDescent="0.2">
      <c r="A23" s="3" t="s">
        <v>260</v>
      </c>
      <c r="B23" s="3" t="s">
        <v>259</v>
      </c>
      <c r="C23" s="3" t="s">
        <v>13</v>
      </c>
      <c r="D23">
        <v>33</v>
      </c>
      <c r="E23">
        <v>196</v>
      </c>
      <c r="F23">
        <v>52</v>
      </c>
      <c r="G23" s="3" t="s">
        <v>14</v>
      </c>
      <c r="H23">
        <v>13.5</v>
      </c>
    </row>
    <row r="24" spans="1:8" x14ac:dyDescent="0.2">
      <c r="A24" s="3" t="s">
        <v>261</v>
      </c>
      <c r="B24" s="3" t="s">
        <v>262</v>
      </c>
      <c r="C24" s="3" t="s">
        <v>9</v>
      </c>
      <c r="D24">
        <v>29</v>
      </c>
      <c r="E24">
        <v>168</v>
      </c>
      <c r="F24">
        <v>52</v>
      </c>
      <c r="G24" s="3" t="s">
        <v>14</v>
      </c>
      <c r="H24">
        <v>18.399999999999999</v>
      </c>
    </row>
    <row r="25" spans="1:8" x14ac:dyDescent="0.2">
      <c r="A25" s="3" t="s">
        <v>263</v>
      </c>
      <c r="B25" s="3" t="s">
        <v>264</v>
      </c>
      <c r="C25" s="3" t="s">
        <v>13</v>
      </c>
      <c r="D25">
        <v>27</v>
      </c>
      <c r="E25">
        <v>197</v>
      </c>
      <c r="F25">
        <v>73</v>
      </c>
      <c r="G25" s="3" t="s">
        <v>17</v>
      </c>
      <c r="H25">
        <v>18.8</v>
      </c>
    </row>
    <row r="26" spans="1:8" x14ac:dyDescent="0.2">
      <c r="A26" s="3" t="s">
        <v>265</v>
      </c>
      <c r="B26" s="3" t="s">
        <v>266</v>
      </c>
      <c r="C26" s="3" t="s">
        <v>13</v>
      </c>
      <c r="D26">
        <v>53</v>
      </c>
      <c r="E26">
        <v>185</v>
      </c>
      <c r="F26">
        <v>113</v>
      </c>
      <c r="G26" s="3" t="s">
        <v>17</v>
      </c>
      <c r="H26">
        <v>33</v>
      </c>
    </row>
    <row r="27" spans="1:8" x14ac:dyDescent="0.2">
      <c r="A27" s="3" t="s">
        <v>267</v>
      </c>
      <c r="B27" s="3" t="s">
        <v>268</v>
      </c>
      <c r="C27" s="3" t="s">
        <v>9</v>
      </c>
      <c r="D27">
        <v>34</v>
      </c>
      <c r="E27">
        <v>186</v>
      </c>
      <c r="F27">
        <v>106</v>
      </c>
      <c r="G27" s="3" t="s">
        <v>14</v>
      </c>
      <c r="H27">
        <v>30.6</v>
      </c>
    </row>
    <row r="28" spans="1:8" x14ac:dyDescent="0.2">
      <c r="A28" s="3" t="s">
        <v>269</v>
      </c>
      <c r="B28" s="3" t="s">
        <v>270</v>
      </c>
      <c r="C28" s="3" t="s">
        <v>9</v>
      </c>
      <c r="D28">
        <v>46</v>
      </c>
      <c r="E28">
        <v>155</v>
      </c>
      <c r="F28">
        <v>90</v>
      </c>
      <c r="G28" s="3" t="s">
        <v>10</v>
      </c>
      <c r="H28">
        <v>37.5</v>
      </c>
    </row>
    <row r="29" spans="1:8" x14ac:dyDescent="0.2">
      <c r="A29" s="3" t="s">
        <v>271</v>
      </c>
      <c r="B29" s="3" t="s">
        <v>272</v>
      </c>
      <c r="C29" s="3" t="s">
        <v>13</v>
      </c>
      <c r="D29">
        <v>35</v>
      </c>
      <c r="E29">
        <v>161</v>
      </c>
      <c r="F29">
        <v>101</v>
      </c>
      <c r="G29" s="3" t="s">
        <v>10</v>
      </c>
      <c r="H29">
        <v>39</v>
      </c>
    </row>
    <row r="30" spans="1:8" x14ac:dyDescent="0.2">
      <c r="A30" s="3" t="s">
        <v>273</v>
      </c>
      <c r="B30" s="3" t="s">
        <v>274</v>
      </c>
      <c r="C30" s="3" t="s">
        <v>13</v>
      </c>
      <c r="D30">
        <v>25</v>
      </c>
      <c r="E30">
        <v>159</v>
      </c>
      <c r="F30">
        <v>63</v>
      </c>
      <c r="G30" s="3" t="s">
        <v>14</v>
      </c>
      <c r="H30">
        <v>24.9</v>
      </c>
    </row>
    <row r="31" spans="1:8" x14ac:dyDescent="0.2">
      <c r="A31" s="3" t="s">
        <v>275</v>
      </c>
      <c r="B31" s="3" t="s">
        <v>276</v>
      </c>
      <c r="C31" s="3" t="s">
        <v>9</v>
      </c>
      <c r="D31">
        <v>25</v>
      </c>
      <c r="E31">
        <v>155</v>
      </c>
      <c r="F31">
        <v>107</v>
      </c>
      <c r="G31" s="3" t="s">
        <v>17</v>
      </c>
      <c r="H31">
        <v>44.5</v>
      </c>
    </row>
    <row r="32" spans="1:8" x14ac:dyDescent="0.2">
      <c r="A32" s="3" t="s">
        <v>277</v>
      </c>
      <c r="B32" s="3" t="s">
        <v>278</v>
      </c>
      <c r="C32" s="3" t="s">
        <v>9</v>
      </c>
      <c r="D32">
        <v>49</v>
      </c>
      <c r="E32">
        <v>188</v>
      </c>
      <c r="F32">
        <v>119</v>
      </c>
      <c r="G32" s="3" t="s">
        <v>10</v>
      </c>
      <c r="H32">
        <v>33.700000000000003</v>
      </c>
    </row>
    <row r="33" spans="1:8" x14ac:dyDescent="0.2">
      <c r="A33" s="3" t="s">
        <v>279</v>
      </c>
      <c r="B33" s="3" t="s">
        <v>280</v>
      </c>
      <c r="C33" s="3" t="s">
        <v>9</v>
      </c>
      <c r="D33">
        <v>43</v>
      </c>
      <c r="E33">
        <v>188</v>
      </c>
      <c r="F33">
        <v>104</v>
      </c>
      <c r="G33" s="3" t="s">
        <v>17</v>
      </c>
      <c r="H33">
        <v>29.4</v>
      </c>
    </row>
    <row r="34" spans="1:8" x14ac:dyDescent="0.2">
      <c r="A34" s="3" t="s">
        <v>281</v>
      </c>
      <c r="B34" s="3" t="s">
        <v>282</v>
      </c>
      <c r="C34" s="3" t="s">
        <v>13</v>
      </c>
      <c r="D34">
        <v>27</v>
      </c>
      <c r="E34">
        <v>181</v>
      </c>
      <c r="F34">
        <v>88</v>
      </c>
      <c r="G34" s="3" t="s">
        <v>10</v>
      </c>
      <c r="H34">
        <v>26.9</v>
      </c>
    </row>
    <row r="35" spans="1:8" x14ac:dyDescent="0.2">
      <c r="A35" s="3" t="s">
        <v>283</v>
      </c>
      <c r="B35" s="3" t="s">
        <v>284</v>
      </c>
      <c r="C35" s="3" t="s">
        <v>13</v>
      </c>
      <c r="D35">
        <v>28</v>
      </c>
      <c r="E35">
        <v>155</v>
      </c>
      <c r="F35">
        <v>52</v>
      </c>
      <c r="G35" s="3" t="s">
        <v>22</v>
      </c>
      <c r="H35">
        <v>21.6</v>
      </c>
    </row>
    <row r="36" spans="1:8" x14ac:dyDescent="0.2">
      <c r="A36" s="3" t="s">
        <v>285</v>
      </c>
      <c r="B36" s="3" t="s">
        <v>286</v>
      </c>
      <c r="C36" s="3" t="s">
        <v>13</v>
      </c>
      <c r="D36">
        <v>54</v>
      </c>
      <c r="E36">
        <v>163</v>
      </c>
      <c r="F36">
        <v>84</v>
      </c>
      <c r="G36" s="3" t="s">
        <v>10</v>
      </c>
      <c r="H36">
        <v>31.6</v>
      </c>
    </row>
    <row r="37" spans="1:8" x14ac:dyDescent="0.2">
      <c r="A37" s="3" t="s">
        <v>287</v>
      </c>
      <c r="B37" s="3" t="s">
        <v>288</v>
      </c>
      <c r="C37" s="3" t="s">
        <v>9</v>
      </c>
      <c r="D37">
        <v>20</v>
      </c>
      <c r="E37">
        <v>182</v>
      </c>
      <c r="F37">
        <v>80</v>
      </c>
      <c r="G37" s="3" t="s">
        <v>10</v>
      </c>
      <c r="H37">
        <v>24.2</v>
      </c>
    </row>
    <row r="38" spans="1:8" x14ac:dyDescent="0.2">
      <c r="A38" s="3" t="s">
        <v>289</v>
      </c>
      <c r="B38" s="3" t="s">
        <v>290</v>
      </c>
      <c r="C38" s="3" t="s">
        <v>13</v>
      </c>
      <c r="D38">
        <v>58</v>
      </c>
      <c r="E38">
        <v>197</v>
      </c>
      <c r="F38">
        <v>97</v>
      </c>
      <c r="G38" s="3" t="s">
        <v>17</v>
      </c>
      <c r="H38">
        <v>25</v>
      </c>
    </row>
    <row r="39" spans="1:8" x14ac:dyDescent="0.2">
      <c r="A39" s="3" t="s">
        <v>291</v>
      </c>
      <c r="B39" s="3" t="s">
        <v>292</v>
      </c>
      <c r="C39" s="3" t="s">
        <v>9</v>
      </c>
      <c r="D39">
        <v>23</v>
      </c>
      <c r="E39">
        <v>193</v>
      </c>
      <c r="F39">
        <v>114</v>
      </c>
      <c r="G39" s="3" t="s">
        <v>17</v>
      </c>
      <c r="H39">
        <v>30.6</v>
      </c>
    </row>
    <row r="40" spans="1:8" x14ac:dyDescent="0.2">
      <c r="A40" s="3" t="s">
        <v>293</v>
      </c>
      <c r="B40" s="3" t="s">
        <v>294</v>
      </c>
      <c r="C40" s="3" t="s">
        <v>13</v>
      </c>
      <c r="D40">
        <v>49</v>
      </c>
      <c r="E40">
        <v>187</v>
      </c>
      <c r="F40">
        <v>95</v>
      </c>
      <c r="G40" s="3" t="s">
        <v>14</v>
      </c>
      <c r="H40">
        <v>27.2</v>
      </c>
    </row>
    <row r="41" spans="1:8" x14ac:dyDescent="0.2">
      <c r="A41" s="3" t="s">
        <v>295</v>
      </c>
      <c r="B41" s="3" t="s">
        <v>296</v>
      </c>
      <c r="C41" s="3" t="s">
        <v>9</v>
      </c>
      <c r="D41">
        <v>52</v>
      </c>
      <c r="E41">
        <v>194</v>
      </c>
      <c r="F41">
        <v>66</v>
      </c>
      <c r="G41" s="3" t="s">
        <v>10</v>
      </c>
      <c r="H41">
        <v>17.5</v>
      </c>
    </row>
    <row r="42" spans="1:8" x14ac:dyDescent="0.2">
      <c r="A42" s="3" t="s">
        <v>297</v>
      </c>
      <c r="B42" s="3" t="s">
        <v>298</v>
      </c>
      <c r="C42" s="3" t="s">
        <v>9</v>
      </c>
      <c r="D42">
        <v>51</v>
      </c>
      <c r="E42">
        <v>197</v>
      </c>
      <c r="F42">
        <v>83</v>
      </c>
      <c r="G42" s="3" t="s">
        <v>10</v>
      </c>
      <c r="H42">
        <v>21.4</v>
      </c>
    </row>
    <row r="43" spans="1:8" x14ac:dyDescent="0.2">
      <c r="A43" s="3" t="s">
        <v>299</v>
      </c>
      <c r="B43" s="3" t="s">
        <v>300</v>
      </c>
      <c r="C43" s="3" t="s">
        <v>13</v>
      </c>
      <c r="D43">
        <v>43</v>
      </c>
      <c r="E43">
        <v>187</v>
      </c>
      <c r="F43">
        <v>93</v>
      </c>
      <c r="G43" s="3" t="s">
        <v>22</v>
      </c>
      <c r="H43">
        <v>26.6</v>
      </c>
    </row>
    <row r="44" spans="1:8" x14ac:dyDescent="0.2">
      <c r="A44" s="3" t="s">
        <v>301</v>
      </c>
      <c r="B44" s="3" t="s">
        <v>302</v>
      </c>
      <c r="C44" s="3" t="s">
        <v>9</v>
      </c>
      <c r="D44">
        <v>23</v>
      </c>
      <c r="E44">
        <v>161</v>
      </c>
      <c r="F44">
        <v>56</v>
      </c>
      <c r="G44" s="3" t="s">
        <v>14</v>
      </c>
      <c r="H44">
        <v>21.6</v>
      </c>
    </row>
    <row r="45" spans="1:8" x14ac:dyDescent="0.2">
      <c r="A45" s="3" t="s">
        <v>303</v>
      </c>
      <c r="B45" s="3" t="s">
        <v>304</v>
      </c>
      <c r="C45" s="3" t="s">
        <v>13</v>
      </c>
      <c r="D45">
        <v>52</v>
      </c>
      <c r="E45">
        <v>187</v>
      </c>
      <c r="F45">
        <v>50</v>
      </c>
      <c r="G45" s="3" t="s">
        <v>22</v>
      </c>
      <c r="H45">
        <v>14.3</v>
      </c>
    </row>
    <row r="46" spans="1:8" x14ac:dyDescent="0.2">
      <c r="A46" s="3" t="s">
        <v>305</v>
      </c>
      <c r="B46" s="3" t="s">
        <v>306</v>
      </c>
      <c r="C46" s="3" t="s">
        <v>9</v>
      </c>
      <c r="D46">
        <v>27</v>
      </c>
      <c r="E46">
        <v>190</v>
      </c>
      <c r="F46">
        <v>71</v>
      </c>
      <c r="G46" s="3" t="s">
        <v>10</v>
      </c>
      <c r="H46">
        <v>19.7</v>
      </c>
    </row>
    <row r="47" spans="1:8" x14ac:dyDescent="0.2">
      <c r="A47" s="3" t="s">
        <v>307</v>
      </c>
      <c r="B47" s="3" t="s">
        <v>308</v>
      </c>
      <c r="C47" s="3" t="s">
        <v>13</v>
      </c>
      <c r="D47">
        <v>18</v>
      </c>
      <c r="E47">
        <v>178</v>
      </c>
      <c r="F47">
        <v>116</v>
      </c>
      <c r="G47" s="3" t="s">
        <v>14</v>
      </c>
      <c r="H47">
        <v>36.6</v>
      </c>
    </row>
    <row r="48" spans="1:8" x14ac:dyDescent="0.2">
      <c r="A48" s="3" t="s">
        <v>309</v>
      </c>
      <c r="B48" s="3" t="s">
        <v>310</v>
      </c>
      <c r="C48" s="3" t="s">
        <v>13</v>
      </c>
      <c r="D48">
        <v>27</v>
      </c>
      <c r="E48">
        <v>185</v>
      </c>
      <c r="F48">
        <v>55</v>
      </c>
      <c r="G48" s="3" t="s">
        <v>17</v>
      </c>
      <c r="H48">
        <v>16.100000000000001</v>
      </c>
    </row>
    <row r="49" spans="1:8" x14ac:dyDescent="0.2">
      <c r="A49" s="3" t="s">
        <v>311</v>
      </c>
      <c r="B49" s="3" t="s">
        <v>312</v>
      </c>
      <c r="C49" s="3" t="s">
        <v>9</v>
      </c>
      <c r="D49">
        <v>23</v>
      </c>
      <c r="E49">
        <v>168</v>
      </c>
      <c r="F49">
        <v>68</v>
      </c>
      <c r="G49" s="3" t="s">
        <v>22</v>
      </c>
      <c r="H49">
        <v>24.1</v>
      </c>
    </row>
    <row r="50" spans="1:8" x14ac:dyDescent="0.2">
      <c r="A50" s="3" t="s">
        <v>313</v>
      </c>
      <c r="B50" s="3" t="s">
        <v>314</v>
      </c>
      <c r="C50" s="3" t="s">
        <v>13</v>
      </c>
      <c r="D50">
        <v>50</v>
      </c>
      <c r="E50">
        <v>178</v>
      </c>
      <c r="F50">
        <v>53</v>
      </c>
      <c r="G50" s="3" t="s">
        <v>14</v>
      </c>
      <c r="H50">
        <v>16.7</v>
      </c>
    </row>
    <row r="51" spans="1:8" x14ac:dyDescent="0.2">
      <c r="A51" s="3" t="s">
        <v>315</v>
      </c>
      <c r="B51" s="3" t="s">
        <v>316</v>
      </c>
      <c r="C51" s="3" t="s">
        <v>13</v>
      </c>
      <c r="D51">
        <v>40</v>
      </c>
      <c r="E51">
        <v>193</v>
      </c>
      <c r="F51">
        <v>99</v>
      </c>
      <c r="G51" s="3" t="s">
        <v>22</v>
      </c>
      <c r="H51">
        <v>26.6</v>
      </c>
    </row>
    <row r="52" spans="1:8" x14ac:dyDescent="0.2">
      <c r="A52" s="3" t="s">
        <v>317</v>
      </c>
      <c r="B52" s="3" t="s">
        <v>318</v>
      </c>
      <c r="C52" s="3" t="s">
        <v>9</v>
      </c>
      <c r="D52">
        <v>43</v>
      </c>
      <c r="E52">
        <v>161</v>
      </c>
      <c r="F52">
        <v>66</v>
      </c>
      <c r="G52" s="3" t="s">
        <v>22</v>
      </c>
      <c r="H52">
        <v>25.5</v>
      </c>
    </row>
    <row r="53" spans="1:8" x14ac:dyDescent="0.2">
      <c r="A53" s="3" t="s">
        <v>319</v>
      </c>
      <c r="B53" s="3" t="s">
        <v>320</v>
      </c>
      <c r="C53" s="3" t="s">
        <v>9</v>
      </c>
      <c r="D53">
        <v>57</v>
      </c>
      <c r="E53">
        <v>176</v>
      </c>
      <c r="F53">
        <v>55</v>
      </c>
      <c r="G53" s="3" t="s">
        <v>17</v>
      </c>
      <c r="H53">
        <v>17.8</v>
      </c>
    </row>
    <row r="54" spans="1:8" x14ac:dyDescent="0.2">
      <c r="A54" s="3" t="s">
        <v>321</v>
      </c>
      <c r="B54" s="3" t="s">
        <v>322</v>
      </c>
      <c r="C54" s="3" t="s">
        <v>13</v>
      </c>
      <c r="D54">
        <v>47</v>
      </c>
      <c r="E54">
        <v>182</v>
      </c>
      <c r="F54">
        <v>97</v>
      </c>
      <c r="G54" s="3" t="s">
        <v>22</v>
      </c>
      <c r="H54">
        <v>29.3</v>
      </c>
    </row>
    <row r="55" spans="1:8" x14ac:dyDescent="0.2">
      <c r="A55" s="3" t="s">
        <v>323</v>
      </c>
      <c r="B55" s="3" t="s">
        <v>324</v>
      </c>
      <c r="C55" s="3" t="s">
        <v>13</v>
      </c>
      <c r="D55">
        <v>46</v>
      </c>
      <c r="E55">
        <v>186</v>
      </c>
      <c r="F55">
        <v>117</v>
      </c>
      <c r="G55" s="3" t="s">
        <v>14</v>
      </c>
      <c r="H55">
        <v>33.799999999999997</v>
      </c>
    </row>
    <row r="56" spans="1:8" x14ac:dyDescent="0.2">
      <c r="A56" s="3" t="s">
        <v>325</v>
      </c>
      <c r="B56" s="3" t="s">
        <v>326</v>
      </c>
      <c r="C56" s="3" t="s">
        <v>9</v>
      </c>
      <c r="D56">
        <v>55</v>
      </c>
      <c r="E56">
        <v>186</v>
      </c>
      <c r="F56">
        <v>75</v>
      </c>
      <c r="G56" s="3" t="s">
        <v>10</v>
      </c>
      <c r="H56">
        <v>21.7</v>
      </c>
    </row>
    <row r="57" spans="1:8" x14ac:dyDescent="0.2">
      <c r="A57" s="3" t="s">
        <v>327</v>
      </c>
      <c r="B57" s="3" t="s">
        <v>328</v>
      </c>
      <c r="C57" s="3" t="s">
        <v>9</v>
      </c>
      <c r="D57">
        <v>34</v>
      </c>
      <c r="E57">
        <v>179</v>
      </c>
      <c r="F57">
        <v>71</v>
      </c>
      <c r="G57" s="3" t="s">
        <v>10</v>
      </c>
      <c r="H57">
        <v>22.2</v>
      </c>
    </row>
    <row r="58" spans="1:8" x14ac:dyDescent="0.2">
      <c r="A58" s="3" t="s">
        <v>329</v>
      </c>
      <c r="B58" s="3" t="s">
        <v>330</v>
      </c>
      <c r="C58" s="3" t="s">
        <v>9</v>
      </c>
      <c r="D58">
        <v>31</v>
      </c>
      <c r="E58">
        <v>176</v>
      </c>
      <c r="F58">
        <v>117</v>
      </c>
      <c r="G58" s="3" t="s">
        <v>10</v>
      </c>
      <c r="H58">
        <v>37.799999999999997</v>
      </c>
    </row>
    <row r="59" spans="1:8" x14ac:dyDescent="0.2">
      <c r="A59" s="3" t="s">
        <v>331</v>
      </c>
      <c r="B59" s="3" t="s">
        <v>332</v>
      </c>
      <c r="C59" s="3" t="s">
        <v>13</v>
      </c>
      <c r="D59">
        <v>50</v>
      </c>
      <c r="E59">
        <v>184</v>
      </c>
      <c r="F59">
        <v>65</v>
      </c>
      <c r="G59" s="3" t="s">
        <v>10</v>
      </c>
      <c r="H59">
        <v>19.2</v>
      </c>
    </row>
    <row r="60" spans="1:8" x14ac:dyDescent="0.2">
      <c r="A60" s="3" t="s">
        <v>333</v>
      </c>
      <c r="B60" s="3" t="s">
        <v>334</v>
      </c>
      <c r="C60" s="3" t="s">
        <v>9</v>
      </c>
      <c r="D60">
        <v>50</v>
      </c>
      <c r="E60">
        <v>190</v>
      </c>
      <c r="F60">
        <v>117</v>
      </c>
      <c r="G60" s="3" t="s">
        <v>14</v>
      </c>
      <c r="H60">
        <v>32.4</v>
      </c>
    </row>
    <row r="61" spans="1:8" x14ac:dyDescent="0.2">
      <c r="A61" s="3" t="s">
        <v>335</v>
      </c>
      <c r="B61" s="3" t="s">
        <v>336</v>
      </c>
      <c r="C61" s="3" t="s">
        <v>13</v>
      </c>
      <c r="D61">
        <v>24</v>
      </c>
      <c r="E61">
        <v>168</v>
      </c>
      <c r="F61">
        <v>51</v>
      </c>
      <c r="G61" s="3" t="s">
        <v>17</v>
      </c>
      <c r="H61">
        <v>18.100000000000001</v>
      </c>
    </row>
    <row r="62" spans="1:8" x14ac:dyDescent="0.2">
      <c r="A62" s="3" t="s">
        <v>337</v>
      </c>
      <c r="B62" s="3" t="s">
        <v>338</v>
      </c>
      <c r="C62" s="3" t="s">
        <v>9</v>
      </c>
      <c r="D62">
        <v>49</v>
      </c>
      <c r="E62">
        <v>156</v>
      </c>
      <c r="F62">
        <v>66</v>
      </c>
      <c r="G62" s="3" t="s">
        <v>22</v>
      </c>
      <c r="H62">
        <v>27.1</v>
      </c>
    </row>
    <row r="63" spans="1:8" x14ac:dyDescent="0.2">
      <c r="A63" s="3" t="s">
        <v>339</v>
      </c>
      <c r="B63" s="3" t="s">
        <v>340</v>
      </c>
      <c r="C63" s="3" t="s">
        <v>13</v>
      </c>
      <c r="D63">
        <v>43</v>
      </c>
      <c r="E63">
        <v>190</v>
      </c>
      <c r="F63">
        <v>85</v>
      </c>
      <c r="G63" s="3" t="s">
        <v>22</v>
      </c>
      <c r="H63">
        <v>23.5</v>
      </c>
    </row>
    <row r="64" spans="1:8" x14ac:dyDescent="0.2">
      <c r="A64" s="3" t="s">
        <v>341</v>
      </c>
      <c r="B64" s="3" t="s">
        <v>342</v>
      </c>
      <c r="C64" s="3" t="s">
        <v>9</v>
      </c>
      <c r="D64">
        <v>29</v>
      </c>
      <c r="E64">
        <v>167</v>
      </c>
      <c r="F64">
        <v>109</v>
      </c>
      <c r="G64" s="3" t="s">
        <v>10</v>
      </c>
      <c r="H64">
        <v>39.1</v>
      </c>
    </row>
    <row r="65" spans="1:8" x14ac:dyDescent="0.2">
      <c r="A65" s="3" t="s">
        <v>343</v>
      </c>
      <c r="B65" s="3" t="s">
        <v>344</v>
      </c>
      <c r="C65" s="3" t="s">
        <v>13</v>
      </c>
      <c r="D65">
        <v>23</v>
      </c>
      <c r="E65">
        <v>178</v>
      </c>
      <c r="F65">
        <v>88</v>
      </c>
      <c r="G65" s="3" t="s">
        <v>10</v>
      </c>
      <c r="H65">
        <v>27.8</v>
      </c>
    </row>
    <row r="66" spans="1:8" x14ac:dyDescent="0.2">
      <c r="A66" s="3" t="s">
        <v>345</v>
      </c>
      <c r="B66" s="3" t="s">
        <v>346</v>
      </c>
      <c r="C66" s="3" t="s">
        <v>13</v>
      </c>
      <c r="D66">
        <v>59</v>
      </c>
      <c r="E66">
        <v>163</v>
      </c>
      <c r="F66">
        <v>100</v>
      </c>
      <c r="G66" s="3" t="s">
        <v>17</v>
      </c>
      <c r="H66">
        <v>37.6</v>
      </c>
    </row>
    <row r="67" spans="1:8" x14ac:dyDescent="0.2">
      <c r="A67" s="3" t="s">
        <v>347</v>
      </c>
      <c r="B67" s="3" t="s">
        <v>348</v>
      </c>
      <c r="C67" s="3" t="s">
        <v>13</v>
      </c>
      <c r="D67">
        <v>48</v>
      </c>
      <c r="E67">
        <v>186</v>
      </c>
      <c r="F67">
        <v>91</v>
      </c>
      <c r="G67" s="3" t="s">
        <v>17</v>
      </c>
      <c r="H67">
        <v>26.3</v>
      </c>
    </row>
    <row r="68" spans="1:8" x14ac:dyDescent="0.2">
      <c r="A68" s="3" t="s">
        <v>349</v>
      </c>
      <c r="B68" s="3" t="s">
        <v>350</v>
      </c>
      <c r="C68" s="3" t="s">
        <v>9</v>
      </c>
      <c r="D68">
        <v>31</v>
      </c>
      <c r="E68">
        <v>183</v>
      </c>
      <c r="F68">
        <v>99</v>
      </c>
      <c r="G68" s="3" t="s">
        <v>14</v>
      </c>
      <c r="H68">
        <v>29.6</v>
      </c>
    </row>
    <row r="69" spans="1:8" x14ac:dyDescent="0.2">
      <c r="A69" s="3" t="s">
        <v>351</v>
      </c>
      <c r="B69" s="3" t="s">
        <v>352</v>
      </c>
      <c r="C69" s="3" t="s">
        <v>13</v>
      </c>
      <c r="D69">
        <v>29</v>
      </c>
      <c r="E69">
        <v>171</v>
      </c>
      <c r="F69">
        <v>72</v>
      </c>
      <c r="G69" s="3" t="s">
        <v>10</v>
      </c>
      <c r="H69">
        <v>24.6</v>
      </c>
    </row>
    <row r="70" spans="1:8" x14ac:dyDescent="0.2">
      <c r="A70" s="3" t="s">
        <v>353</v>
      </c>
      <c r="B70" s="3" t="s">
        <v>354</v>
      </c>
      <c r="C70" s="3" t="s">
        <v>9</v>
      </c>
      <c r="D70">
        <v>35</v>
      </c>
      <c r="E70">
        <v>186</v>
      </c>
      <c r="F70">
        <v>67</v>
      </c>
      <c r="G70" s="3" t="s">
        <v>17</v>
      </c>
      <c r="H70">
        <v>19.399999999999999</v>
      </c>
    </row>
    <row r="71" spans="1:8" x14ac:dyDescent="0.2">
      <c r="A71" s="3" t="s">
        <v>355</v>
      </c>
      <c r="B71" s="3" t="s">
        <v>356</v>
      </c>
      <c r="C71" s="3" t="s">
        <v>9</v>
      </c>
      <c r="D71">
        <v>42</v>
      </c>
      <c r="E71">
        <v>194</v>
      </c>
      <c r="F71">
        <v>68</v>
      </c>
      <c r="G71" s="3" t="s">
        <v>22</v>
      </c>
      <c r="H71">
        <v>18.100000000000001</v>
      </c>
    </row>
    <row r="72" spans="1:8" x14ac:dyDescent="0.2">
      <c r="A72" s="3" t="s">
        <v>357</v>
      </c>
      <c r="B72" s="3" t="s">
        <v>358</v>
      </c>
      <c r="C72" s="3" t="s">
        <v>13</v>
      </c>
      <c r="D72">
        <v>42</v>
      </c>
      <c r="E72">
        <v>164</v>
      </c>
      <c r="F72">
        <v>70</v>
      </c>
      <c r="G72" s="3" t="s">
        <v>22</v>
      </c>
      <c r="H72">
        <v>26</v>
      </c>
    </row>
    <row r="73" spans="1:8" x14ac:dyDescent="0.2">
      <c r="A73" s="3" t="s">
        <v>359</v>
      </c>
      <c r="B73" s="3" t="s">
        <v>360</v>
      </c>
      <c r="C73" s="3" t="s">
        <v>9</v>
      </c>
      <c r="D73">
        <v>56</v>
      </c>
      <c r="E73">
        <v>187</v>
      </c>
      <c r="F73">
        <v>94</v>
      </c>
      <c r="G73" s="3" t="s">
        <v>17</v>
      </c>
      <c r="H73">
        <v>26.9</v>
      </c>
    </row>
    <row r="74" spans="1:8" x14ac:dyDescent="0.2">
      <c r="A74" s="3" t="s">
        <v>361</v>
      </c>
      <c r="B74" s="3" t="s">
        <v>362</v>
      </c>
      <c r="C74" s="3" t="s">
        <v>9</v>
      </c>
      <c r="D74">
        <v>40</v>
      </c>
      <c r="E74">
        <v>173</v>
      </c>
      <c r="F74">
        <v>76</v>
      </c>
      <c r="G74" s="3" t="s">
        <v>14</v>
      </c>
      <c r="H74">
        <v>25.4</v>
      </c>
    </row>
    <row r="75" spans="1:8" x14ac:dyDescent="0.2">
      <c r="A75" s="3" t="s">
        <v>363</v>
      </c>
      <c r="B75" s="3" t="s">
        <v>364</v>
      </c>
      <c r="C75" s="3" t="s">
        <v>13</v>
      </c>
      <c r="D75">
        <v>19</v>
      </c>
      <c r="E75">
        <v>192</v>
      </c>
      <c r="F75">
        <v>110</v>
      </c>
      <c r="G75" s="3" t="s">
        <v>17</v>
      </c>
      <c r="H75">
        <v>29.8</v>
      </c>
    </row>
    <row r="76" spans="1:8" x14ac:dyDescent="0.2">
      <c r="A76" s="3" t="s">
        <v>365</v>
      </c>
      <c r="B76" s="3" t="s">
        <v>366</v>
      </c>
      <c r="C76" s="3" t="s">
        <v>9</v>
      </c>
      <c r="D76">
        <v>29</v>
      </c>
      <c r="E76">
        <v>197</v>
      </c>
      <c r="F76">
        <v>92</v>
      </c>
      <c r="G76" s="3" t="s">
        <v>10</v>
      </c>
      <c r="H76">
        <v>23.7</v>
      </c>
    </row>
    <row r="77" spans="1:8" x14ac:dyDescent="0.2">
      <c r="A77" s="3" t="s">
        <v>367</v>
      </c>
      <c r="B77" s="3" t="s">
        <v>368</v>
      </c>
      <c r="C77" s="3" t="s">
        <v>9</v>
      </c>
      <c r="D77">
        <v>60</v>
      </c>
      <c r="E77">
        <v>162</v>
      </c>
      <c r="F77">
        <v>115</v>
      </c>
      <c r="G77" s="3" t="s">
        <v>22</v>
      </c>
      <c r="H77">
        <v>43.8</v>
      </c>
    </row>
    <row r="78" spans="1:8" x14ac:dyDescent="0.2">
      <c r="A78" s="3" t="s">
        <v>369</v>
      </c>
      <c r="B78" s="3" t="s">
        <v>370</v>
      </c>
      <c r="C78" s="3" t="s">
        <v>13</v>
      </c>
      <c r="D78">
        <v>19</v>
      </c>
      <c r="E78">
        <v>160</v>
      </c>
      <c r="F78">
        <v>82</v>
      </c>
      <c r="G78" s="3" t="s">
        <v>17</v>
      </c>
      <c r="H78">
        <v>32</v>
      </c>
    </row>
    <row r="79" spans="1:8" x14ac:dyDescent="0.2">
      <c r="A79" s="3" t="s">
        <v>371</v>
      </c>
      <c r="B79" s="3" t="s">
        <v>372</v>
      </c>
      <c r="C79" s="3" t="s">
        <v>13</v>
      </c>
      <c r="D79">
        <v>27</v>
      </c>
      <c r="E79">
        <v>168</v>
      </c>
      <c r="F79">
        <v>101</v>
      </c>
      <c r="G79" s="3" t="s">
        <v>22</v>
      </c>
      <c r="H79">
        <v>35.799999999999997</v>
      </c>
    </row>
    <row r="80" spans="1:8" x14ac:dyDescent="0.2">
      <c r="A80" s="3" t="s">
        <v>373</v>
      </c>
      <c r="B80" s="3" t="s">
        <v>374</v>
      </c>
      <c r="C80" s="3" t="s">
        <v>9</v>
      </c>
      <c r="D80">
        <v>42</v>
      </c>
      <c r="E80">
        <v>197</v>
      </c>
      <c r="F80">
        <v>113</v>
      </c>
      <c r="G80" s="3" t="s">
        <v>17</v>
      </c>
      <c r="H80">
        <v>29.1</v>
      </c>
    </row>
    <row r="81" spans="1:8" x14ac:dyDescent="0.2">
      <c r="A81" s="3" t="s">
        <v>375</v>
      </c>
      <c r="B81" s="3" t="s">
        <v>376</v>
      </c>
      <c r="C81" s="3" t="s">
        <v>9</v>
      </c>
      <c r="D81">
        <v>27</v>
      </c>
      <c r="E81">
        <v>182</v>
      </c>
      <c r="F81">
        <v>94</v>
      </c>
      <c r="G81" s="3" t="s">
        <v>17</v>
      </c>
      <c r="H81">
        <v>28.4</v>
      </c>
    </row>
    <row r="82" spans="1:8" x14ac:dyDescent="0.2">
      <c r="A82" s="3" t="s">
        <v>377</v>
      </c>
      <c r="B82" s="3" t="s">
        <v>378</v>
      </c>
      <c r="C82" s="3" t="s">
        <v>9</v>
      </c>
      <c r="D82">
        <v>54</v>
      </c>
      <c r="E82">
        <v>171</v>
      </c>
      <c r="F82">
        <v>96</v>
      </c>
      <c r="G82" s="3" t="s">
        <v>17</v>
      </c>
      <c r="H82">
        <v>32.799999999999997</v>
      </c>
    </row>
    <row r="83" spans="1:8" x14ac:dyDescent="0.2">
      <c r="A83" s="3" t="s">
        <v>379</v>
      </c>
      <c r="B83" s="3" t="s">
        <v>380</v>
      </c>
      <c r="C83" s="3" t="s">
        <v>9</v>
      </c>
      <c r="D83">
        <v>19</v>
      </c>
      <c r="E83">
        <v>189</v>
      </c>
      <c r="F83">
        <v>85</v>
      </c>
      <c r="G83" s="3" t="s">
        <v>14</v>
      </c>
      <c r="H83">
        <v>23.8</v>
      </c>
    </row>
    <row r="84" spans="1:8" x14ac:dyDescent="0.2">
      <c r="A84" s="3" t="s">
        <v>381</v>
      </c>
      <c r="B84" s="3" t="s">
        <v>376</v>
      </c>
      <c r="C84" s="3" t="s">
        <v>9</v>
      </c>
      <c r="D84">
        <v>52</v>
      </c>
      <c r="E84">
        <v>157</v>
      </c>
      <c r="F84">
        <v>112</v>
      </c>
      <c r="G84" s="3" t="s">
        <v>14</v>
      </c>
      <c r="H84">
        <v>45.4</v>
      </c>
    </row>
    <row r="85" spans="1:8" x14ac:dyDescent="0.2">
      <c r="A85" s="3" t="s">
        <v>382</v>
      </c>
      <c r="B85" s="3" t="s">
        <v>383</v>
      </c>
      <c r="C85" s="3" t="s">
        <v>13</v>
      </c>
      <c r="D85">
        <v>33</v>
      </c>
      <c r="E85">
        <v>169</v>
      </c>
      <c r="F85">
        <v>64</v>
      </c>
      <c r="G85" s="3" t="s">
        <v>22</v>
      </c>
      <c r="H85">
        <v>22.4</v>
      </c>
    </row>
    <row r="86" spans="1:8" x14ac:dyDescent="0.2">
      <c r="A86" s="3" t="s">
        <v>384</v>
      </c>
      <c r="B86" s="3" t="s">
        <v>385</v>
      </c>
      <c r="C86" s="3" t="s">
        <v>9</v>
      </c>
      <c r="D86">
        <v>35</v>
      </c>
      <c r="E86">
        <v>182</v>
      </c>
      <c r="F86">
        <v>65</v>
      </c>
      <c r="G86" s="3" t="s">
        <v>10</v>
      </c>
      <c r="H86">
        <v>19.600000000000001</v>
      </c>
    </row>
    <row r="87" spans="1:8" x14ac:dyDescent="0.2">
      <c r="A87" s="3" t="s">
        <v>386</v>
      </c>
      <c r="B87" s="3" t="s">
        <v>387</v>
      </c>
      <c r="C87" s="3" t="s">
        <v>13</v>
      </c>
      <c r="D87">
        <v>52</v>
      </c>
      <c r="E87">
        <v>159</v>
      </c>
      <c r="F87">
        <v>78</v>
      </c>
      <c r="G87" s="3" t="s">
        <v>10</v>
      </c>
      <c r="H87">
        <v>30.9</v>
      </c>
    </row>
    <row r="88" spans="1:8" x14ac:dyDescent="0.2">
      <c r="A88" s="3" t="s">
        <v>388</v>
      </c>
      <c r="B88" s="3" t="s">
        <v>389</v>
      </c>
      <c r="C88" s="3" t="s">
        <v>9</v>
      </c>
      <c r="D88">
        <v>49</v>
      </c>
      <c r="E88">
        <v>189</v>
      </c>
      <c r="F88">
        <v>107</v>
      </c>
      <c r="G88" s="3" t="s">
        <v>22</v>
      </c>
      <c r="H88">
        <v>30</v>
      </c>
    </row>
    <row r="89" spans="1:8" x14ac:dyDescent="0.2">
      <c r="A89" s="3" t="s">
        <v>390</v>
      </c>
      <c r="B89" s="3" t="s">
        <v>391</v>
      </c>
      <c r="C89" s="3" t="s">
        <v>9</v>
      </c>
      <c r="D89">
        <v>45</v>
      </c>
      <c r="E89">
        <v>188</v>
      </c>
      <c r="F89">
        <v>72</v>
      </c>
      <c r="G89" s="3" t="s">
        <v>17</v>
      </c>
      <c r="H89">
        <v>20.399999999999999</v>
      </c>
    </row>
    <row r="90" spans="1:8" x14ac:dyDescent="0.2">
      <c r="A90" s="3" t="s">
        <v>392</v>
      </c>
      <c r="B90" s="3" t="s">
        <v>393</v>
      </c>
      <c r="C90" s="3" t="s">
        <v>9</v>
      </c>
      <c r="D90">
        <v>22</v>
      </c>
      <c r="E90">
        <v>175</v>
      </c>
      <c r="F90">
        <v>120</v>
      </c>
      <c r="G90" s="3" t="s">
        <v>10</v>
      </c>
      <c r="H90">
        <v>39.200000000000003</v>
      </c>
    </row>
    <row r="91" spans="1:8" x14ac:dyDescent="0.2">
      <c r="A91" s="3" t="s">
        <v>394</v>
      </c>
      <c r="B91" s="3" t="s">
        <v>395</v>
      </c>
      <c r="C91" s="3" t="s">
        <v>13</v>
      </c>
      <c r="D91">
        <v>28</v>
      </c>
      <c r="E91">
        <v>177</v>
      </c>
      <c r="F91">
        <v>94</v>
      </c>
      <c r="G91" s="3" t="s">
        <v>10</v>
      </c>
      <c r="H91">
        <v>30</v>
      </c>
    </row>
    <row r="92" spans="1:8" x14ac:dyDescent="0.2">
      <c r="A92" s="3" t="s">
        <v>396</v>
      </c>
      <c r="B92" s="3" t="s">
        <v>397</v>
      </c>
      <c r="C92" s="3" t="s">
        <v>13</v>
      </c>
      <c r="D92">
        <v>45</v>
      </c>
      <c r="E92">
        <v>167</v>
      </c>
      <c r="F92">
        <v>52</v>
      </c>
      <c r="G92" s="3" t="s">
        <v>17</v>
      </c>
      <c r="H92">
        <v>18.600000000000001</v>
      </c>
    </row>
    <row r="93" spans="1:8" x14ac:dyDescent="0.2">
      <c r="A93" s="3" t="s">
        <v>398</v>
      </c>
      <c r="B93" s="3" t="s">
        <v>399</v>
      </c>
      <c r="C93" s="3" t="s">
        <v>13</v>
      </c>
      <c r="D93">
        <v>24</v>
      </c>
      <c r="E93">
        <v>191</v>
      </c>
      <c r="F93">
        <v>117</v>
      </c>
      <c r="G93" s="3" t="s">
        <v>17</v>
      </c>
      <c r="H93">
        <v>32.1</v>
      </c>
    </row>
    <row r="94" spans="1:8" x14ac:dyDescent="0.2">
      <c r="A94" s="3" t="s">
        <v>400</v>
      </c>
      <c r="B94" s="3" t="s">
        <v>401</v>
      </c>
      <c r="C94" s="3" t="s">
        <v>13</v>
      </c>
      <c r="D94">
        <v>54</v>
      </c>
      <c r="E94">
        <v>175</v>
      </c>
      <c r="F94">
        <v>71</v>
      </c>
      <c r="G94" s="3" t="s">
        <v>17</v>
      </c>
      <c r="H94">
        <v>23.2</v>
      </c>
    </row>
    <row r="95" spans="1:8" x14ac:dyDescent="0.2">
      <c r="A95" s="3" t="s">
        <v>402</v>
      </c>
      <c r="B95" s="3" t="s">
        <v>403</v>
      </c>
      <c r="C95" s="3" t="s">
        <v>9</v>
      </c>
      <c r="D95">
        <v>20</v>
      </c>
      <c r="E95">
        <v>196</v>
      </c>
      <c r="F95">
        <v>77</v>
      </c>
      <c r="G95" s="3" t="s">
        <v>10</v>
      </c>
      <c r="H95">
        <v>20</v>
      </c>
    </row>
    <row r="96" spans="1:8" x14ac:dyDescent="0.2">
      <c r="A96" s="3" t="s">
        <v>404</v>
      </c>
      <c r="B96" s="3" t="s">
        <v>405</v>
      </c>
      <c r="C96" s="3" t="s">
        <v>9</v>
      </c>
      <c r="D96">
        <v>45</v>
      </c>
      <c r="E96">
        <v>163</v>
      </c>
      <c r="F96">
        <v>80</v>
      </c>
      <c r="G96" s="3" t="s">
        <v>17</v>
      </c>
      <c r="H96">
        <v>30.1</v>
      </c>
    </row>
    <row r="97" spans="1:8" x14ac:dyDescent="0.2">
      <c r="A97" s="3" t="s">
        <v>406</v>
      </c>
      <c r="B97" s="3" t="s">
        <v>407</v>
      </c>
      <c r="C97" s="3" t="s">
        <v>13</v>
      </c>
      <c r="D97">
        <v>31</v>
      </c>
      <c r="E97">
        <v>178</v>
      </c>
      <c r="F97">
        <v>104</v>
      </c>
      <c r="G97" s="3" t="s">
        <v>10</v>
      </c>
      <c r="H97">
        <v>32.799999999999997</v>
      </c>
    </row>
    <row r="98" spans="1:8" x14ac:dyDescent="0.2">
      <c r="A98" s="3" t="s">
        <v>408</v>
      </c>
      <c r="B98" s="3" t="s">
        <v>409</v>
      </c>
      <c r="C98" s="3" t="s">
        <v>13</v>
      </c>
      <c r="D98">
        <v>44</v>
      </c>
      <c r="E98">
        <v>175</v>
      </c>
      <c r="F98">
        <v>99</v>
      </c>
      <c r="G98" s="3" t="s">
        <v>22</v>
      </c>
      <c r="H98">
        <v>32.299999999999997</v>
      </c>
    </row>
    <row r="99" spans="1:8" x14ac:dyDescent="0.2">
      <c r="A99" s="3" t="s">
        <v>410</v>
      </c>
      <c r="B99" s="3" t="s">
        <v>411</v>
      </c>
      <c r="C99" s="3" t="s">
        <v>13</v>
      </c>
      <c r="D99">
        <v>34</v>
      </c>
      <c r="E99">
        <v>185</v>
      </c>
      <c r="F99">
        <v>115</v>
      </c>
      <c r="G99" s="3" t="s">
        <v>10</v>
      </c>
      <c r="H99">
        <v>33.6</v>
      </c>
    </row>
    <row r="100" spans="1:8" x14ac:dyDescent="0.2">
      <c r="A100" s="3" t="s">
        <v>412</v>
      </c>
      <c r="B100" s="3" t="s">
        <v>413</v>
      </c>
      <c r="C100" s="3" t="s">
        <v>9</v>
      </c>
      <c r="D100">
        <v>34</v>
      </c>
      <c r="E100">
        <v>197</v>
      </c>
      <c r="F100">
        <v>117</v>
      </c>
      <c r="G100" s="3" t="s">
        <v>10</v>
      </c>
      <c r="H100">
        <v>30.1</v>
      </c>
    </row>
    <row r="101" spans="1:8" x14ac:dyDescent="0.2">
      <c r="A101" s="3" t="s">
        <v>414</v>
      </c>
      <c r="B101" s="3" t="s">
        <v>415</v>
      </c>
      <c r="C101" s="3" t="s">
        <v>9</v>
      </c>
      <c r="D101">
        <v>49</v>
      </c>
      <c r="E101">
        <v>164</v>
      </c>
      <c r="F101">
        <v>103</v>
      </c>
      <c r="G101" s="3" t="s">
        <v>22</v>
      </c>
      <c r="H101">
        <v>38.299999999999997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B454-3C50-432D-8A20-239A0328BC2A}">
  <dimension ref="A1:E99"/>
  <sheetViews>
    <sheetView workbookViewId="0"/>
  </sheetViews>
  <sheetFormatPr defaultRowHeight="14.25" x14ac:dyDescent="0.2"/>
  <cols>
    <col min="1" max="1" width="9.25" bestFit="1" customWidth="1"/>
    <col min="2" max="2" width="6.125" bestFit="1" customWidth="1"/>
    <col min="3" max="3" width="8.5" bestFit="1" customWidth="1"/>
    <col min="4" max="4" width="7.5" bestFit="1" customWidth="1"/>
    <col min="5" max="5" width="9.5" bestFit="1" customWidth="1"/>
  </cols>
  <sheetData>
    <row r="1" spans="1:5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3" t="s">
        <v>9</v>
      </c>
      <c r="B2">
        <v>31</v>
      </c>
      <c r="C2">
        <v>175</v>
      </c>
      <c r="D2">
        <v>81</v>
      </c>
      <c r="E2" s="3" t="s">
        <v>10</v>
      </c>
    </row>
    <row r="3" spans="1:5" x14ac:dyDescent="0.2">
      <c r="A3" s="3" t="s">
        <v>9</v>
      </c>
      <c r="B3">
        <v>41</v>
      </c>
      <c r="C3">
        <v>193</v>
      </c>
      <c r="D3">
        <v>65</v>
      </c>
      <c r="E3" s="3" t="s">
        <v>22</v>
      </c>
    </row>
    <row r="4" spans="1:5" x14ac:dyDescent="0.2">
      <c r="A4" s="3" t="s">
        <v>13</v>
      </c>
      <c r="B4">
        <v>18</v>
      </c>
      <c r="C4">
        <v>165</v>
      </c>
      <c r="D4">
        <v>69</v>
      </c>
      <c r="E4" s="3" t="s">
        <v>10</v>
      </c>
    </row>
    <row r="5" spans="1:5" x14ac:dyDescent="0.2">
      <c r="A5" s="3" t="s">
        <v>13</v>
      </c>
      <c r="B5">
        <v>26</v>
      </c>
      <c r="C5">
        <v>189</v>
      </c>
      <c r="D5">
        <v>56</v>
      </c>
      <c r="E5" s="3" t="s">
        <v>10</v>
      </c>
    </row>
    <row r="6" spans="1:5" x14ac:dyDescent="0.2">
      <c r="A6" s="3" t="s">
        <v>13</v>
      </c>
      <c r="B6">
        <v>43</v>
      </c>
      <c r="C6">
        <v>190</v>
      </c>
      <c r="D6">
        <v>106</v>
      </c>
      <c r="E6" s="3" t="s">
        <v>22</v>
      </c>
    </row>
    <row r="7" spans="1:5" x14ac:dyDescent="0.2">
      <c r="A7" s="3" t="s">
        <v>9</v>
      </c>
      <c r="B7">
        <v>50</v>
      </c>
      <c r="C7">
        <v>195</v>
      </c>
      <c r="D7">
        <v>119</v>
      </c>
      <c r="E7" s="3" t="s">
        <v>17</v>
      </c>
    </row>
    <row r="8" spans="1:5" x14ac:dyDescent="0.2">
      <c r="A8" s="3" t="s">
        <v>9</v>
      </c>
      <c r="B8">
        <v>58</v>
      </c>
      <c r="C8">
        <v>169</v>
      </c>
      <c r="D8">
        <v>92</v>
      </c>
      <c r="E8" s="3" t="s">
        <v>10</v>
      </c>
    </row>
    <row r="9" spans="1:5" x14ac:dyDescent="0.2">
      <c r="A9" s="3" t="s">
        <v>13</v>
      </c>
      <c r="B9">
        <v>48</v>
      </c>
      <c r="C9">
        <v>185</v>
      </c>
      <c r="D9">
        <v>103</v>
      </c>
      <c r="E9" s="3" t="s">
        <v>10</v>
      </c>
    </row>
    <row r="10" spans="1:5" x14ac:dyDescent="0.2">
      <c r="A10" s="3" t="s">
        <v>9</v>
      </c>
      <c r="B10">
        <v>46</v>
      </c>
      <c r="C10">
        <v>157</v>
      </c>
      <c r="D10">
        <v>95</v>
      </c>
      <c r="E10" s="3" t="s">
        <v>22</v>
      </c>
    </row>
    <row r="11" spans="1:5" x14ac:dyDescent="0.2">
      <c r="A11" s="3" t="s">
        <v>13</v>
      </c>
      <c r="B11">
        <v>58</v>
      </c>
      <c r="C11">
        <v>192</v>
      </c>
      <c r="D11">
        <v>60</v>
      </c>
      <c r="E11" s="3" t="s">
        <v>14</v>
      </c>
    </row>
    <row r="12" spans="1:5" x14ac:dyDescent="0.2">
      <c r="A12" s="3" t="s">
        <v>9</v>
      </c>
      <c r="B12">
        <v>56</v>
      </c>
      <c r="C12">
        <v>190</v>
      </c>
      <c r="D12">
        <v>73</v>
      </c>
      <c r="E12" s="3" t="s">
        <v>17</v>
      </c>
    </row>
    <row r="13" spans="1:5" x14ac:dyDescent="0.2">
      <c r="A13" s="3" t="s">
        <v>13</v>
      </c>
      <c r="B13">
        <v>34</v>
      </c>
      <c r="C13">
        <v>182</v>
      </c>
      <c r="D13">
        <v>91</v>
      </c>
      <c r="E13" s="3" t="s">
        <v>17</v>
      </c>
    </row>
    <row r="14" spans="1:5" x14ac:dyDescent="0.2">
      <c r="A14" s="3" t="s">
        <v>13</v>
      </c>
      <c r="B14">
        <v>26</v>
      </c>
      <c r="C14">
        <v>168</v>
      </c>
      <c r="D14">
        <v>54</v>
      </c>
      <c r="E14" s="3" t="s">
        <v>14</v>
      </c>
    </row>
    <row r="15" spans="1:5" x14ac:dyDescent="0.2">
      <c r="A15" s="3" t="s">
        <v>9</v>
      </c>
      <c r="B15">
        <v>21</v>
      </c>
      <c r="C15">
        <v>169</v>
      </c>
      <c r="D15">
        <v>109</v>
      </c>
      <c r="E15" s="3" t="s">
        <v>10</v>
      </c>
    </row>
    <row r="16" spans="1:5" x14ac:dyDescent="0.2">
      <c r="A16" s="3" t="s">
        <v>9</v>
      </c>
      <c r="B16">
        <v>37</v>
      </c>
      <c r="C16">
        <v>183</v>
      </c>
      <c r="D16">
        <v>64</v>
      </c>
      <c r="E16" s="3" t="s">
        <v>10</v>
      </c>
    </row>
    <row r="17" spans="1:5" x14ac:dyDescent="0.2">
      <c r="A17" s="3" t="s">
        <v>13</v>
      </c>
      <c r="B17">
        <v>38</v>
      </c>
      <c r="C17">
        <v>190</v>
      </c>
      <c r="D17">
        <v>66</v>
      </c>
      <c r="E17" s="3" t="s">
        <v>22</v>
      </c>
    </row>
    <row r="18" spans="1:5" x14ac:dyDescent="0.2">
      <c r="A18" s="3" t="s">
        <v>9</v>
      </c>
      <c r="B18">
        <v>58</v>
      </c>
      <c r="C18">
        <v>182</v>
      </c>
      <c r="D18">
        <v>73</v>
      </c>
      <c r="E18" s="3" t="s">
        <v>22</v>
      </c>
    </row>
    <row r="19" spans="1:5" x14ac:dyDescent="0.2">
      <c r="A19" s="3" t="s">
        <v>13</v>
      </c>
      <c r="B19">
        <v>54</v>
      </c>
      <c r="C19">
        <v>165</v>
      </c>
      <c r="D19">
        <v>75</v>
      </c>
      <c r="E19" s="3" t="s">
        <v>22</v>
      </c>
    </row>
    <row r="20" spans="1:5" x14ac:dyDescent="0.2">
      <c r="A20" s="3" t="s">
        <v>9</v>
      </c>
      <c r="B20">
        <v>42</v>
      </c>
      <c r="C20">
        <v>159</v>
      </c>
      <c r="D20">
        <v>73</v>
      </c>
      <c r="E20" s="3" t="s">
        <v>14</v>
      </c>
    </row>
    <row r="21" spans="1:5" x14ac:dyDescent="0.2">
      <c r="A21" s="3" t="s">
        <v>9</v>
      </c>
      <c r="B21">
        <v>33</v>
      </c>
      <c r="C21">
        <v>155</v>
      </c>
      <c r="D21">
        <v>114</v>
      </c>
      <c r="E21" s="3" t="s">
        <v>14</v>
      </c>
    </row>
    <row r="22" spans="1:5" x14ac:dyDescent="0.2">
      <c r="A22" s="3" t="s">
        <v>13</v>
      </c>
      <c r="B22">
        <v>33</v>
      </c>
      <c r="C22">
        <v>196</v>
      </c>
      <c r="D22">
        <v>52</v>
      </c>
      <c r="E22" s="3" t="s">
        <v>14</v>
      </c>
    </row>
    <row r="23" spans="1:5" x14ac:dyDescent="0.2">
      <c r="A23" s="3" t="s">
        <v>9</v>
      </c>
      <c r="B23">
        <v>29</v>
      </c>
      <c r="C23">
        <v>168</v>
      </c>
      <c r="D23">
        <v>52</v>
      </c>
      <c r="E23" s="3" t="s">
        <v>14</v>
      </c>
    </row>
    <row r="24" spans="1:5" x14ac:dyDescent="0.2">
      <c r="A24" s="3" t="s">
        <v>13</v>
      </c>
      <c r="B24">
        <v>27</v>
      </c>
      <c r="C24">
        <v>197</v>
      </c>
      <c r="D24">
        <v>73</v>
      </c>
      <c r="E24" s="3" t="s">
        <v>17</v>
      </c>
    </row>
    <row r="25" spans="1:5" x14ac:dyDescent="0.2">
      <c r="A25" s="3" t="s">
        <v>13</v>
      </c>
      <c r="B25">
        <v>53</v>
      </c>
      <c r="C25">
        <v>185</v>
      </c>
      <c r="D25">
        <v>113</v>
      </c>
      <c r="E25" s="3" t="s">
        <v>17</v>
      </c>
    </row>
    <row r="26" spans="1:5" x14ac:dyDescent="0.2">
      <c r="A26" s="3" t="s">
        <v>9</v>
      </c>
      <c r="B26">
        <v>34</v>
      </c>
      <c r="C26">
        <v>186</v>
      </c>
      <c r="D26">
        <v>106</v>
      </c>
      <c r="E26" s="3" t="s">
        <v>14</v>
      </c>
    </row>
    <row r="27" spans="1:5" x14ac:dyDescent="0.2">
      <c r="A27" s="3" t="s">
        <v>9</v>
      </c>
      <c r="B27">
        <v>46</v>
      </c>
      <c r="C27">
        <v>155</v>
      </c>
      <c r="D27">
        <v>90</v>
      </c>
      <c r="E27" s="3" t="s">
        <v>10</v>
      </c>
    </row>
    <row r="28" spans="1:5" x14ac:dyDescent="0.2">
      <c r="A28" s="3" t="s">
        <v>13</v>
      </c>
      <c r="B28">
        <v>35</v>
      </c>
      <c r="C28">
        <v>161</v>
      </c>
      <c r="D28">
        <v>101</v>
      </c>
      <c r="E28" s="3" t="s">
        <v>10</v>
      </c>
    </row>
    <row r="29" spans="1:5" x14ac:dyDescent="0.2">
      <c r="A29" s="3" t="s">
        <v>13</v>
      </c>
      <c r="B29">
        <v>25</v>
      </c>
      <c r="C29">
        <v>159</v>
      </c>
      <c r="D29">
        <v>63</v>
      </c>
      <c r="E29" s="3" t="s">
        <v>14</v>
      </c>
    </row>
    <row r="30" spans="1:5" x14ac:dyDescent="0.2">
      <c r="A30" s="3" t="s">
        <v>9</v>
      </c>
      <c r="B30">
        <v>25</v>
      </c>
      <c r="C30">
        <v>155</v>
      </c>
      <c r="D30">
        <v>107</v>
      </c>
      <c r="E30" s="3" t="s">
        <v>17</v>
      </c>
    </row>
    <row r="31" spans="1:5" x14ac:dyDescent="0.2">
      <c r="A31" s="3" t="s">
        <v>9</v>
      </c>
      <c r="B31">
        <v>49</v>
      </c>
      <c r="C31">
        <v>188</v>
      </c>
      <c r="D31">
        <v>119</v>
      </c>
      <c r="E31" s="3" t="s">
        <v>10</v>
      </c>
    </row>
    <row r="32" spans="1:5" x14ac:dyDescent="0.2">
      <c r="A32" s="3" t="s">
        <v>9</v>
      </c>
      <c r="B32">
        <v>43</v>
      </c>
      <c r="C32">
        <v>188</v>
      </c>
      <c r="D32">
        <v>104</v>
      </c>
      <c r="E32" s="3" t="s">
        <v>17</v>
      </c>
    </row>
    <row r="33" spans="1:5" x14ac:dyDescent="0.2">
      <c r="A33" s="3" t="s">
        <v>13</v>
      </c>
      <c r="B33">
        <v>27</v>
      </c>
      <c r="C33">
        <v>181</v>
      </c>
      <c r="D33">
        <v>88</v>
      </c>
      <c r="E33" s="3" t="s">
        <v>10</v>
      </c>
    </row>
    <row r="34" spans="1:5" x14ac:dyDescent="0.2">
      <c r="A34" s="3" t="s">
        <v>13</v>
      </c>
      <c r="B34">
        <v>28</v>
      </c>
      <c r="C34">
        <v>155</v>
      </c>
      <c r="D34">
        <v>52</v>
      </c>
      <c r="E34" s="3" t="s">
        <v>22</v>
      </c>
    </row>
    <row r="35" spans="1:5" x14ac:dyDescent="0.2">
      <c r="A35" s="3" t="s">
        <v>13</v>
      </c>
      <c r="B35">
        <v>54</v>
      </c>
      <c r="C35">
        <v>163</v>
      </c>
      <c r="D35">
        <v>84</v>
      </c>
      <c r="E35" s="3" t="s">
        <v>10</v>
      </c>
    </row>
    <row r="36" spans="1:5" x14ac:dyDescent="0.2">
      <c r="A36" s="3" t="s">
        <v>9</v>
      </c>
      <c r="B36">
        <v>20</v>
      </c>
      <c r="C36">
        <v>182</v>
      </c>
      <c r="D36">
        <v>80</v>
      </c>
      <c r="E36" s="3" t="s">
        <v>10</v>
      </c>
    </row>
    <row r="37" spans="1:5" x14ac:dyDescent="0.2">
      <c r="A37" s="3" t="s">
        <v>13</v>
      </c>
      <c r="B37">
        <v>58</v>
      </c>
      <c r="C37">
        <v>197</v>
      </c>
      <c r="D37">
        <v>97</v>
      </c>
      <c r="E37" s="3" t="s">
        <v>17</v>
      </c>
    </row>
    <row r="38" spans="1:5" x14ac:dyDescent="0.2">
      <c r="A38" s="3" t="s">
        <v>9</v>
      </c>
      <c r="B38">
        <v>23</v>
      </c>
      <c r="C38">
        <v>193</v>
      </c>
      <c r="D38">
        <v>114</v>
      </c>
      <c r="E38" s="3" t="s">
        <v>17</v>
      </c>
    </row>
    <row r="39" spans="1:5" x14ac:dyDescent="0.2">
      <c r="A39" s="3" t="s">
        <v>13</v>
      </c>
      <c r="B39">
        <v>49</v>
      </c>
      <c r="C39">
        <v>187</v>
      </c>
      <c r="D39">
        <v>95</v>
      </c>
      <c r="E39" s="3" t="s">
        <v>14</v>
      </c>
    </row>
    <row r="40" spans="1:5" x14ac:dyDescent="0.2">
      <c r="A40" s="3" t="s">
        <v>9</v>
      </c>
      <c r="B40">
        <v>52</v>
      </c>
      <c r="C40">
        <v>194</v>
      </c>
      <c r="D40">
        <v>66</v>
      </c>
      <c r="E40" s="3" t="s">
        <v>10</v>
      </c>
    </row>
    <row r="41" spans="1:5" x14ac:dyDescent="0.2">
      <c r="A41" s="3" t="s">
        <v>9</v>
      </c>
      <c r="B41">
        <v>51</v>
      </c>
      <c r="C41">
        <v>197</v>
      </c>
      <c r="D41">
        <v>83</v>
      </c>
      <c r="E41" s="3" t="s">
        <v>10</v>
      </c>
    </row>
    <row r="42" spans="1:5" x14ac:dyDescent="0.2">
      <c r="A42" s="3" t="s">
        <v>13</v>
      </c>
      <c r="B42">
        <v>43</v>
      </c>
      <c r="C42">
        <v>187</v>
      </c>
      <c r="D42">
        <v>93</v>
      </c>
      <c r="E42" s="3" t="s">
        <v>22</v>
      </c>
    </row>
    <row r="43" spans="1:5" x14ac:dyDescent="0.2">
      <c r="A43" s="3" t="s">
        <v>9</v>
      </c>
      <c r="B43">
        <v>23</v>
      </c>
      <c r="C43">
        <v>161</v>
      </c>
      <c r="D43">
        <v>56</v>
      </c>
      <c r="E43" s="3" t="s">
        <v>14</v>
      </c>
    </row>
    <row r="44" spans="1:5" x14ac:dyDescent="0.2">
      <c r="A44" s="3" t="s">
        <v>13</v>
      </c>
      <c r="B44">
        <v>52</v>
      </c>
      <c r="C44">
        <v>187</v>
      </c>
      <c r="D44">
        <v>50</v>
      </c>
      <c r="E44" s="3" t="s">
        <v>22</v>
      </c>
    </row>
    <row r="45" spans="1:5" x14ac:dyDescent="0.2">
      <c r="A45" s="3" t="s">
        <v>9</v>
      </c>
      <c r="B45">
        <v>27</v>
      </c>
      <c r="C45">
        <v>190</v>
      </c>
      <c r="D45">
        <v>71</v>
      </c>
      <c r="E45" s="3" t="s">
        <v>10</v>
      </c>
    </row>
    <row r="46" spans="1:5" x14ac:dyDescent="0.2">
      <c r="A46" s="3" t="s">
        <v>13</v>
      </c>
      <c r="B46">
        <v>18</v>
      </c>
      <c r="C46">
        <v>178</v>
      </c>
      <c r="D46">
        <v>116</v>
      </c>
      <c r="E46" s="3" t="s">
        <v>14</v>
      </c>
    </row>
    <row r="47" spans="1:5" x14ac:dyDescent="0.2">
      <c r="A47" s="3" t="s">
        <v>13</v>
      </c>
      <c r="B47">
        <v>27</v>
      </c>
      <c r="C47">
        <v>185</v>
      </c>
      <c r="D47">
        <v>55</v>
      </c>
      <c r="E47" s="3" t="s">
        <v>17</v>
      </c>
    </row>
    <row r="48" spans="1:5" x14ac:dyDescent="0.2">
      <c r="A48" s="3" t="s">
        <v>9</v>
      </c>
      <c r="B48">
        <v>23</v>
      </c>
      <c r="C48">
        <v>168</v>
      </c>
      <c r="D48">
        <v>68</v>
      </c>
      <c r="E48" s="3" t="s">
        <v>22</v>
      </c>
    </row>
    <row r="49" spans="1:5" x14ac:dyDescent="0.2">
      <c r="A49" s="3" t="s">
        <v>13</v>
      </c>
      <c r="B49">
        <v>50</v>
      </c>
      <c r="C49">
        <v>178</v>
      </c>
      <c r="D49">
        <v>53</v>
      </c>
      <c r="E49" s="3" t="s">
        <v>14</v>
      </c>
    </row>
    <row r="50" spans="1:5" x14ac:dyDescent="0.2">
      <c r="A50" s="3" t="s">
        <v>13</v>
      </c>
      <c r="B50">
        <v>40</v>
      </c>
      <c r="C50">
        <v>193</v>
      </c>
      <c r="D50">
        <v>99</v>
      </c>
      <c r="E50" s="3" t="s">
        <v>22</v>
      </c>
    </row>
    <row r="51" spans="1:5" x14ac:dyDescent="0.2">
      <c r="A51" s="3" t="s">
        <v>9</v>
      </c>
      <c r="B51">
        <v>43</v>
      </c>
      <c r="C51">
        <v>161</v>
      </c>
      <c r="D51">
        <v>66</v>
      </c>
      <c r="E51" s="3" t="s">
        <v>22</v>
      </c>
    </row>
    <row r="52" spans="1:5" x14ac:dyDescent="0.2">
      <c r="A52" s="3" t="s">
        <v>9</v>
      </c>
      <c r="B52">
        <v>57</v>
      </c>
      <c r="C52">
        <v>176</v>
      </c>
      <c r="D52">
        <v>55</v>
      </c>
      <c r="E52" s="3" t="s">
        <v>17</v>
      </c>
    </row>
    <row r="53" spans="1:5" x14ac:dyDescent="0.2">
      <c r="A53" s="3" t="s">
        <v>13</v>
      </c>
      <c r="B53">
        <v>47</v>
      </c>
      <c r="C53">
        <v>182</v>
      </c>
      <c r="D53">
        <v>97</v>
      </c>
      <c r="E53" s="3" t="s">
        <v>22</v>
      </c>
    </row>
    <row r="54" spans="1:5" x14ac:dyDescent="0.2">
      <c r="A54" s="3" t="s">
        <v>13</v>
      </c>
      <c r="B54">
        <v>46</v>
      </c>
      <c r="C54">
        <v>186</v>
      </c>
      <c r="D54">
        <v>117</v>
      </c>
      <c r="E54" s="3" t="s">
        <v>14</v>
      </c>
    </row>
    <row r="55" spans="1:5" x14ac:dyDescent="0.2">
      <c r="A55" s="3" t="s">
        <v>9</v>
      </c>
      <c r="B55">
        <v>55</v>
      </c>
      <c r="C55">
        <v>186</v>
      </c>
      <c r="D55">
        <v>75</v>
      </c>
      <c r="E55" s="3" t="s">
        <v>10</v>
      </c>
    </row>
    <row r="56" spans="1:5" x14ac:dyDescent="0.2">
      <c r="A56" s="3" t="s">
        <v>9</v>
      </c>
      <c r="B56">
        <v>34</v>
      </c>
      <c r="C56">
        <v>179</v>
      </c>
      <c r="D56">
        <v>71</v>
      </c>
      <c r="E56" s="3" t="s">
        <v>10</v>
      </c>
    </row>
    <row r="57" spans="1:5" x14ac:dyDescent="0.2">
      <c r="A57" s="3" t="s">
        <v>9</v>
      </c>
      <c r="B57">
        <v>31</v>
      </c>
      <c r="C57">
        <v>176</v>
      </c>
      <c r="D57">
        <v>117</v>
      </c>
      <c r="E57" s="3" t="s">
        <v>10</v>
      </c>
    </row>
    <row r="58" spans="1:5" x14ac:dyDescent="0.2">
      <c r="A58" s="3" t="s">
        <v>13</v>
      </c>
      <c r="B58">
        <v>50</v>
      </c>
      <c r="C58">
        <v>184</v>
      </c>
      <c r="D58">
        <v>65</v>
      </c>
      <c r="E58" s="3" t="s">
        <v>10</v>
      </c>
    </row>
    <row r="59" spans="1:5" x14ac:dyDescent="0.2">
      <c r="A59" s="3" t="s">
        <v>9</v>
      </c>
      <c r="B59">
        <v>50</v>
      </c>
      <c r="C59">
        <v>190</v>
      </c>
      <c r="D59">
        <v>117</v>
      </c>
      <c r="E59" s="3" t="s">
        <v>14</v>
      </c>
    </row>
    <row r="60" spans="1:5" x14ac:dyDescent="0.2">
      <c r="A60" s="3" t="s">
        <v>13</v>
      </c>
      <c r="B60">
        <v>24</v>
      </c>
      <c r="C60">
        <v>168</v>
      </c>
      <c r="D60">
        <v>51</v>
      </c>
      <c r="E60" s="3" t="s">
        <v>17</v>
      </c>
    </row>
    <row r="61" spans="1:5" x14ac:dyDescent="0.2">
      <c r="A61" s="3" t="s">
        <v>9</v>
      </c>
      <c r="B61">
        <v>49</v>
      </c>
      <c r="C61">
        <v>156</v>
      </c>
      <c r="D61">
        <v>66</v>
      </c>
      <c r="E61" s="3" t="s">
        <v>22</v>
      </c>
    </row>
    <row r="62" spans="1:5" x14ac:dyDescent="0.2">
      <c r="A62" s="3" t="s">
        <v>13</v>
      </c>
      <c r="B62">
        <v>43</v>
      </c>
      <c r="C62">
        <v>190</v>
      </c>
      <c r="D62">
        <v>85</v>
      </c>
      <c r="E62" s="3" t="s">
        <v>22</v>
      </c>
    </row>
    <row r="63" spans="1:5" x14ac:dyDescent="0.2">
      <c r="A63" s="3" t="s">
        <v>9</v>
      </c>
      <c r="B63">
        <v>29</v>
      </c>
      <c r="C63">
        <v>167</v>
      </c>
      <c r="D63">
        <v>109</v>
      </c>
      <c r="E63" s="3" t="s">
        <v>10</v>
      </c>
    </row>
    <row r="64" spans="1:5" x14ac:dyDescent="0.2">
      <c r="A64" s="3" t="s">
        <v>13</v>
      </c>
      <c r="B64">
        <v>23</v>
      </c>
      <c r="C64">
        <v>178</v>
      </c>
      <c r="D64">
        <v>88</v>
      </c>
      <c r="E64" s="3" t="s">
        <v>10</v>
      </c>
    </row>
    <row r="65" spans="1:5" x14ac:dyDescent="0.2">
      <c r="A65" s="3" t="s">
        <v>13</v>
      </c>
      <c r="B65">
        <v>59</v>
      </c>
      <c r="C65">
        <v>163</v>
      </c>
      <c r="D65">
        <v>100</v>
      </c>
      <c r="E65" s="3" t="s">
        <v>17</v>
      </c>
    </row>
    <row r="66" spans="1:5" x14ac:dyDescent="0.2">
      <c r="A66" s="3" t="s">
        <v>13</v>
      </c>
      <c r="B66">
        <v>48</v>
      </c>
      <c r="C66">
        <v>186</v>
      </c>
      <c r="D66">
        <v>91</v>
      </c>
      <c r="E66" s="3" t="s">
        <v>17</v>
      </c>
    </row>
    <row r="67" spans="1:5" x14ac:dyDescent="0.2">
      <c r="A67" s="3" t="s">
        <v>9</v>
      </c>
      <c r="B67">
        <v>31</v>
      </c>
      <c r="C67">
        <v>183</v>
      </c>
      <c r="D67">
        <v>99</v>
      </c>
      <c r="E67" s="3" t="s">
        <v>14</v>
      </c>
    </row>
    <row r="68" spans="1:5" x14ac:dyDescent="0.2">
      <c r="A68" s="3" t="s">
        <v>13</v>
      </c>
      <c r="B68">
        <v>29</v>
      </c>
      <c r="C68">
        <v>171</v>
      </c>
      <c r="D68">
        <v>72</v>
      </c>
      <c r="E68" s="3" t="s">
        <v>10</v>
      </c>
    </row>
    <row r="69" spans="1:5" x14ac:dyDescent="0.2">
      <c r="A69" s="3" t="s">
        <v>9</v>
      </c>
      <c r="B69">
        <v>35</v>
      </c>
      <c r="C69">
        <v>186</v>
      </c>
      <c r="D69">
        <v>67</v>
      </c>
      <c r="E69" s="3" t="s">
        <v>17</v>
      </c>
    </row>
    <row r="70" spans="1:5" x14ac:dyDescent="0.2">
      <c r="A70" s="3" t="s">
        <v>9</v>
      </c>
      <c r="B70">
        <v>42</v>
      </c>
      <c r="C70">
        <v>194</v>
      </c>
      <c r="D70">
        <v>68</v>
      </c>
      <c r="E70" s="3" t="s">
        <v>22</v>
      </c>
    </row>
    <row r="71" spans="1:5" x14ac:dyDescent="0.2">
      <c r="A71" s="3" t="s">
        <v>13</v>
      </c>
      <c r="B71">
        <v>42</v>
      </c>
      <c r="C71">
        <v>164</v>
      </c>
      <c r="D71">
        <v>70</v>
      </c>
      <c r="E71" s="3" t="s">
        <v>22</v>
      </c>
    </row>
    <row r="72" spans="1:5" x14ac:dyDescent="0.2">
      <c r="A72" s="3" t="s">
        <v>9</v>
      </c>
      <c r="B72">
        <v>56</v>
      </c>
      <c r="C72">
        <v>187</v>
      </c>
      <c r="D72">
        <v>94</v>
      </c>
      <c r="E72" s="3" t="s">
        <v>17</v>
      </c>
    </row>
    <row r="73" spans="1:5" x14ac:dyDescent="0.2">
      <c r="A73" s="3" t="s">
        <v>9</v>
      </c>
      <c r="B73">
        <v>40</v>
      </c>
      <c r="C73">
        <v>173</v>
      </c>
      <c r="D73">
        <v>76</v>
      </c>
      <c r="E73" s="3" t="s">
        <v>14</v>
      </c>
    </row>
    <row r="74" spans="1:5" x14ac:dyDescent="0.2">
      <c r="A74" s="3" t="s">
        <v>13</v>
      </c>
      <c r="B74">
        <v>19</v>
      </c>
      <c r="C74">
        <v>192</v>
      </c>
      <c r="D74">
        <v>110</v>
      </c>
      <c r="E74" s="3" t="s">
        <v>17</v>
      </c>
    </row>
    <row r="75" spans="1:5" x14ac:dyDescent="0.2">
      <c r="A75" s="3" t="s">
        <v>9</v>
      </c>
      <c r="B75">
        <v>29</v>
      </c>
      <c r="C75">
        <v>197</v>
      </c>
      <c r="D75">
        <v>92</v>
      </c>
      <c r="E75" s="3" t="s">
        <v>10</v>
      </c>
    </row>
    <row r="76" spans="1:5" x14ac:dyDescent="0.2">
      <c r="A76" s="3" t="s">
        <v>9</v>
      </c>
      <c r="B76">
        <v>60</v>
      </c>
      <c r="C76">
        <v>162</v>
      </c>
      <c r="D76">
        <v>115</v>
      </c>
      <c r="E76" s="3" t="s">
        <v>22</v>
      </c>
    </row>
    <row r="77" spans="1:5" x14ac:dyDescent="0.2">
      <c r="A77" s="3" t="s">
        <v>13</v>
      </c>
      <c r="B77">
        <v>19</v>
      </c>
      <c r="C77">
        <v>160</v>
      </c>
      <c r="D77">
        <v>82</v>
      </c>
      <c r="E77" s="3" t="s">
        <v>17</v>
      </c>
    </row>
    <row r="78" spans="1:5" x14ac:dyDescent="0.2">
      <c r="A78" s="3" t="s">
        <v>13</v>
      </c>
      <c r="B78">
        <v>27</v>
      </c>
      <c r="C78">
        <v>168</v>
      </c>
      <c r="D78">
        <v>101</v>
      </c>
      <c r="E78" s="3" t="s">
        <v>22</v>
      </c>
    </row>
    <row r="79" spans="1:5" x14ac:dyDescent="0.2">
      <c r="A79" s="3" t="s">
        <v>9</v>
      </c>
      <c r="B79">
        <v>42</v>
      </c>
      <c r="C79">
        <v>197</v>
      </c>
      <c r="D79">
        <v>113</v>
      </c>
      <c r="E79" s="3" t="s">
        <v>17</v>
      </c>
    </row>
    <row r="80" spans="1:5" x14ac:dyDescent="0.2">
      <c r="A80" s="3" t="s">
        <v>9</v>
      </c>
      <c r="B80">
        <v>27</v>
      </c>
      <c r="C80">
        <v>182</v>
      </c>
      <c r="D80">
        <v>94</v>
      </c>
      <c r="E80" s="3" t="s">
        <v>17</v>
      </c>
    </row>
    <row r="81" spans="1:5" x14ac:dyDescent="0.2">
      <c r="A81" s="3" t="s">
        <v>9</v>
      </c>
      <c r="B81">
        <v>54</v>
      </c>
      <c r="C81">
        <v>171</v>
      </c>
      <c r="D81">
        <v>96</v>
      </c>
      <c r="E81" s="3" t="s">
        <v>17</v>
      </c>
    </row>
    <row r="82" spans="1:5" x14ac:dyDescent="0.2">
      <c r="A82" s="3" t="s">
        <v>9</v>
      </c>
      <c r="B82">
        <v>19</v>
      </c>
      <c r="C82">
        <v>189</v>
      </c>
      <c r="D82">
        <v>85</v>
      </c>
      <c r="E82" s="3" t="s">
        <v>14</v>
      </c>
    </row>
    <row r="83" spans="1:5" x14ac:dyDescent="0.2">
      <c r="A83" s="3" t="s">
        <v>9</v>
      </c>
      <c r="B83">
        <v>52</v>
      </c>
      <c r="C83">
        <v>157</v>
      </c>
      <c r="D83">
        <v>112</v>
      </c>
      <c r="E83" s="3" t="s">
        <v>14</v>
      </c>
    </row>
    <row r="84" spans="1:5" x14ac:dyDescent="0.2">
      <c r="A84" s="3" t="s">
        <v>13</v>
      </c>
      <c r="B84">
        <v>33</v>
      </c>
      <c r="C84">
        <v>169</v>
      </c>
      <c r="D84">
        <v>64</v>
      </c>
      <c r="E84" s="3" t="s">
        <v>22</v>
      </c>
    </row>
    <row r="85" spans="1:5" x14ac:dyDescent="0.2">
      <c r="A85" s="3" t="s">
        <v>9</v>
      </c>
      <c r="B85">
        <v>35</v>
      </c>
      <c r="C85">
        <v>182</v>
      </c>
      <c r="D85">
        <v>65</v>
      </c>
      <c r="E85" s="3" t="s">
        <v>10</v>
      </c>
    </row>
    <row r="86" spans="1:5" x14ac:dyDescent="0.2">
      <c r="A86" s="3" t="s">
        <v>13</v>
      </c>
      <c r="B86">
        <v>52</v>
      </c>
      <c r="C86">
        <v>159</v>
      </c>
      <c r="D86">
        <v>78</v>
      </c>
      <c r="E86" s="3" t="s">
        <v>10</v>
      </c>
    </row>
    <row r="87" spans="1:5" x14ac:dyDescent="0.2">
      <c r="A87" s="3" t="s">
        <v>9</v>
      </c>
      <c r="B87">
        <v>49</v>
      </c>
      <c r="C87">
        <v>189</v>
      </c>
      <c r="D87">
        <v>107</v>
      </c>
      <c r="E87" s="3" t="s">
        <v>22</v>
      </c>
    </row>
    <row r="88" spans="1:5" x14ac:dyDescent="0.2">
      <c r="A88" s="3" t="s">
        <v>9</v>
      </c>
      <c r="B88">
        <v>45</v>
      </c>
      <c r="C88">
        <v>188</v>
      </c>
      <c r="D88">
        <v>72</v>
      </c>
      <c r="E88" s="3" t="s">
        <v>17</v>
      </c>
    </row>
    <row r="89" spans="1:5" x14ac:dyDescent="0.2">
      <c r="A89" s="3" t="s">
        <v>9</v>
      </c>
      <c r="B89">
        <v>22</v>
      </c>
      <c r="C89">
        <v>175</v>
      </c>
      <c r="D89">
        <v>120</v>
      </c>
      <c r="E89" s="3" t="s">
        <v>10</v>
      </c>
    </row>
    <row r="90" spans="1:5" x14ac:dyDescent="0.2">
      <c r="A90" s="3" t="s">
        <v>13</v>
      </c>
      <c r="B90">
        <v>28</v>
      </c>
      <c r="C90">
        <v>177</v>
      </c>
      <c r="D90">
        <v>94</v>
      </c>
      <c r="E90" s="3" t="s">
        <v>10</v>
      </c>
    </row>
    <row r="91" spans="1:5" x14ac:dyDescent="0.2">
      <c r="A91" s="3" t="s">
        <v>13</v>
      </c>
      <c r="B91">
        <v>45</v>
      </c>
      <c r="C91">
        <v>167</v>
      </c>
      <c r="D91">
        <v>52</v>
      </c>
      <c r="E91" s="3" t="s">
        <v>17</v>
      </c>
    </row>
    <row r="92" spans="1:5" x14ac:dyDescent="0.2">
      <c r="A92" s="3" t="s">
        <v>13</v>
      </c>
      <c r="B92">
        <v>24</v>
      </c>
      <c r="C92">
        <v>191</v>
      </c>
      <c r="D92">
        <v>117</v>
      </c>
      <c r="E92" s="3" t="s">
        <v>17</v>
      </c>
    </row>
    <row r="93" spans="1:5" x14ac:dyDescent="0.2">
      <c r="A93" s="3" t="s">
        <v>13</v>
      </c>
      <c r="B93">
        <v>54</v>
      </c>
      <c r="C93">
        <v>175</v>
      </c>
      <c r="D93">
        <v>71</v>
      </c>
      <c r="E93" s="3" t="s">
        <v>17</v>
      </c>
    </row>
    <row r="94" spans="1:5" x14ac:dyDescent="0.2">
      <c r="A94" s="3" t="s">
        <v>9</v>
      </c>
      <c r="B94">
        <v>20</v>
      </c>
      <c r="C94">
        <v>196</v>
      </c>
      <c r="D94">
        <v>77</v>
      </c>
      <c r="E94" s="3" t="s">
        <v>10</v>
      </c>
    </row>
    <row r="95" spans="1:5" x14ac:dyDescent="0.2">
      <c r="A95" s="3" t="s">
        <v>9</v>
      </c>
      <c r="B95">
        <v>45</v>
      </c>
      <c r="C95">
        <v>163</v>
      </c>
      <c r="D95">
        <v>80</v>
      </c>
      <c r="E95" s="3" t="s">
        <v>17</v>
      </c>
    </row>
    <row r="96" spans="1:5" x14ac:dyDescent="0.2">
      <c r="A96" s="3" t="s">
        <v>13</v>
      </c>
      <c r="B96">
        <v>31</v>
      </c>
      <c r="C96">
        <v>178</v>
      </c>
      <c r="D96">
        <v>104</v>
      </c>
      <c r="E96" s="3" t="s">
        <v>10</v>
      </c>
    </row>
    <row r="97" spans="1:5" x14ac:dyDescent="0.2">
      <c r="A97" s="3" t="s">
        <v>13</v>
      </c>
      <c r="B97">
        <v>44</v>
      </c>
      <c r="C97">
        <v>175</v>
      </c>
      <c r="D97">
        <v>99</v>
      </c>
      <c r="E97" s="3" t="s">
        <v>22</v>
      </c>
    </row>
    <row r="98" spans="1:5" x14ac:dyDescent="0.2">
      <c r="A98" s="3" t="s">
        <v>13</v>
      </c>
      <c r="B98">
        <v>34</v>
      </c>
      <c r="C98">
        <v>185</v>
      </c>
      <c r="D98">
        <v>115</v>
      </c>
      <c r="E98" s="3" t="s">
        <v>10</v>
      </c>
    </row>
    <row r="99" spans="1:5" x14ac:dyDescent="0.2">
      <c r="A99" s="3" t="s">
        <v>9</v>
      </c>
      <c r="B99">
        <v>34</v>
      </c>
      <c r="C99">
        <v>197</v>
      </c>
      <c r="D99">
        <v>117</v>
      </c>
      <c r="E99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showOutlineSymbols="0" showWhiteSpace="0" zoomScale="115" zoomScaleNormal="115" workbookViewId="0">
      <selection activeCell="E33" sqref="A2:H101"/>
    </sheetView>
  </sheetViews>
  <sheetFormatPr defaultRowHeight="14.25" x14ac:dyDescent="0.2"/>
  <cols>
    <col min="1" max="1" width="11" customWidth="1"/>
    <col min="2" max="2" width="14.125" bestFit="1" customWidth="1"/>
    <col min="3" max="3" width="8.625" bestFit="1" customWidth="1"/>
    <col min="4" max="4" width="5.625" customWidth="1"/>
    <col min="5" max="5" width="7.5" bestFit="1" customWidth="1"/>
    <col min="6" max="6" width="6.875" customWidth="1"/>
    <col min="7" max="7" width="8.625" bestFit="1" customWidth="1"/>
    <col min="8" max="8" width="12.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416</v>
      </c>
    </row>
    <row r="2" spans="1:8" x14ac:dyDescent="0.2">
      <c r="A2" t="s">
        <v>69</v>
      </c>
      <c r="B2" t="s">
        <v>70</v>
      </c>
      <c r="C2" t="s">
        <v>9</v>
      </c>
      <c r="D2">
        <v>39</v>
      </c>
      <c r="E2">
        <v>197</v>
      </c>
      <c r="F2">
        <v>109</v>
      </c>
      <c r="G2" t="s">
        <v>10</v>
      </c>
      <c r="H2">
        <f>ROUND(Tabela1[[#This Row],[wage]] / ((Tabela1[[#This Row],[height]] / 100)^2), 1)</f>
        <v>28.1</v>
      </c>
    </row>
    <row r="3" spans="1:8" hidden="1" x14ac:dyDescent="0.2">
      <c r="A3" t="s">
        <v>11</v>
      </c>
      <c r="B3" t="s">
        <v>12</v>
      </c>
      <c r="C3" t="s">
        <v>13</v>
      </c>
      <c r="D3">
        <v>33</v>
      </c>
      <c r="E3">
        <v>188</v>
      </c>
      <c r="F3">
        <v>115</v>
      </c>
      <c r="G3" t="s">
        <v>14</v>
      </c>
      <c r="H3">
        <f>ROUND(Tabela1[[#This Row],[wage]] / ((Tabela1[[#This Row],[height]] / 100)^2), 1)</f>
        <v>32.5</v>
      </c>
    </row>
    <row r="4" spans="1:8" hidden="1" x14ac:dyDescent="0.2">
      <c r="A4" t="s">
        <v>15</v>
      </c>
      <c r="B4" t="s">
        <v>16</v>
      </c>
      <c r="C4" t="s">
        <v>9</v>
      </c>
      <c r="D4">
        <v>21</v>
      </c>
      <c r="E4">
        <v>155</v>
      </c>
      <c r="F4">
        <v>50</v>
      </c>
      <c r="G4" t="s">
        <v>17</v>
      </c>
      <c r="H4">
        <f>ROUND(Tabela1[[#This Row],[wage]] / ((Tabela1[[#This Row],[height]] / 100)^2), 1)</f>
        <v>20.8</v>
      </c>
    </row>
    <row r="5" spans="1:8" x14ac:dyDescent="0.2">
      <c r="A5" t="s">
        <v>95</v>
      </c>
      <c r="B5" t="s">
        <v>96</v>
      </c>
      <c r="C5" t="s">
        <v>13</v>
      </c>
      <c r="D5">
        <v>56</v>
      </c>
      <c r="E5">
        <v>197</v>
      </c>
      <c r="F5">
        <v>81</v>
      </c>
      <c r="G5" t="s">
        <v>10</v>
      </c>
      <c r="H5">
        <f>ROUND(Tabela1[[#This Row],[wage]] / ((Tabela1[[#This Row],[height]] / 100)^2), 1)</f>
        <v>20.9</v>
      </c>
    </row>
    <row r="6" spans="1:8" hidden="1" x14ac:dyDescent="0.2">
      <c r="A6" t="s">
        <v>20</v>
      </c>
      <c r="B6" t="s">
        <v>21</v>
      </c>
      <c r="C6" t="s">
        <v>13</v>
      </c>
      <c r="D6">
        <v>50</v>
      </c>
      <c r="E6">
        <v>159</v>
      </c>
      <c r="F6">
        <v>74</v>
      </c>
      <c r="G6" t="s">
        <v>22</v>
      </c>
      <c r="H6">
        <f>ROUND(Tabela1[[#This Row],[wage]] / ((Tabela1[[#This Row],[height]] / 100)^2), 1)</f>
        <v>29.3</v>
      </c>
    </row>
    <row r="7" spans="1:8" hidden="1" x14ac:dyDescent="0.2">
      <c r="A7" t="s">
        <v>23</v>
      </c>
      <c r="B7" t="s">
        <v>24</v>
      </c>
      <c r="C7" t="s">
        <v>13</v>
      </c>
      <c r="D7">
        <v>52</v>
      </c>
      <c r="E7">
        <v>175</v>
      </c>
      <c r="F7">
        <v>104</v>
      </c>
      <c r="G7" t="s">
        <v>17</v>
      </c>
      <c r="H7">
        <f>ROUND(Tabela1[[#This Row],[wage]] / ((Tabela1[[#This Row],[height]] / 100)^2), 1)</f>
        <v>34</v>
      </c>
    </row>
    <row r="8" spans="1:8" x14ac:dyDescent="0.2">
      <c r="A8" t="s">
        <v>201</v>
      </c>
      <c r="B8" t="s">
        <v>202</v>
      </c>
      <c r="C8" t="s">
        <v>9</v>
      </c>
      <c r="D8">
        <v>43</v>
      </c>
      <c r="E8">
        <v>190</v>
      </c>
      <c r="F8">
        <v>81</v>
      </c>
      <c r="G8" t="s">
        <v>10</v>
      </c>
      <c r="H8">
        <f>ROUND(Tabela1[[#This Row],[wage]] / ((Tabela1[[#This Row],[height]] / 100)^2), 1)</f>
        <v>22.4</v>
      </c>
    </row>
    <row r="9" spans="1:8" hidden="1" x14ac:dyDescent="0.2">
      <c r="A9" t="s">
        <v>27</v>
      </c>
      <c r="B9" t="s">
        <v>28</v>
      </c>
      <c r="C9" t="s">
        <v>9</v>
      </c>
      <c r="D9">
        <v>59</v>
      </c>
      <c r="E9">
        <v>171</v>
      </c>
      <c r="F9">
        <v>54</v>
      </c>
      <c r="G9" t="s">
        <v>14</v>
      </c>
      <c r="H9">
        <f>ROUND(Tabela1[[#This Row],[wage]] / ((Tabela1[[#This Row],[height]] / 100)^2), 1)</f>
        <v>18.5</v>
      </c>
    </row>
    <row r="10" spans="1:8" hidden="1" x14ac:dyDescent="0.2">
      <c r="A10" t="s">
        <v>29</v>
      </c>
      <c r="B10" t="s">
        <v>30</v>
      </c>
      <c r="C10" t="s">
        <v>9</v>
      </c>
      <c r="D10">
        <v>46</v>
      </c>
      <c r="E10">
        <v>164</v>
      </c>
      <c r="F10">
        <v>117</v>
      </c>
      <c r="G10" t="s">
        <v>22</v>
      </c>
      <c r="H10">
        <f>ROUND(Tabela1[[#This Row],[wage]] / ((Tabela1[[#This Row],[height]] / 100)^2), 1)</f>
        <v>43.5</v>
      </c>
    </row>
    <row r="11" spans="1:8" hidden="1" x14ac:dyDescent="0.2">
      <c r="A11" t="s">
        <v>31</v>
      </c>
      <c r="B11" t="s">
        <v>32</v>
      </c>
      <c r="C11" t="s">
        <v>13</v>
      </c>
      <c r="D11">
        <v>52</v>
      </c>
      <c r="E11">
        <v>163</v>
      </c>
      <c r="F11">
        <v>86</v>
      </c>
      <c r="G11" t="s">
        <v>14</v>
      </c>
      <c r="H11">
        <f>ROUND(Tabela1[[#This Row],[wage]] / ((Tabela1[[#This Row],[height]] / 100)^2), 1)</f>
        <v>32.4</v>
      </c>
    </row>
    <row r="12" spans="1:8" hidden="1" x14ac:dyDescent="0.2">
      <c r="A12" t="s">
        <v>33</v>
      </c>
      <c r="B12" t="s">
        <v>34</v>
      </c>
      <c r="C12" t="s">
        <v>13</v>
      </c>
      <c r="D12">
        <v>26</v>
      </c>
      <c r="E12">
        <v>182</v>
      </c>
      <c r="F12">
        <v>51</v>
      </c>
      <c r="G12" t="s">
        <v>22</v>
      </c>
      <c r="H12">
        <f>ROUND(Tabela1[[#This Row],[wage]] / ((Tabela1[[#This Row],[height]] / 100)^2), 1)</f>
        <v>15.4</v>
      </c>
    </row>
    <row r="13" spans="1:8" hidden="1" x14ac:dyDescent="0.2">
      <c r="A13" t="s">
        <v>35</v>
      </c>
      <c r="B13" t="s">
        <v>36</v>
      </c>
      <c r="C13" t="s">
        <v>9</v>
      </c>
      <c r="D13">
        <v>40</v>
      </c>
      <c r="E13">
        <v>168</v>
      </c>
      <c r="F13">
        <v>78</v>
      </c>
      <c r="G13" t="s">
        <v>22</v>
      </c>
      <c r="H13">
        <f>ROUND(Tabela1[[#This Row],[wage]] / ((Tabela1[[#This Row],[height]] / 100)^2), 1)</f>
        <v>27.6</v>
      </c>
    </row>
    <row r="14" spans="1:8" x14ac:dyDescent="0.2">
      <c r="A14" t="s">
        <v>133</v>
      </c>
      <c r="B14" t="s">
        <v>134</v>
      </c>
      <c r="C14" t="s">
        <v>13</v>
      </c>
      <c r="D14">
        <v>44</v>
      </c>
      <c r="E14">
        <v>189</v>
      </c>
      <c r="F14">
        <v>101</v>
      </c>
      <c r="G14" t="s">
        <v>10</v>
      </c>
      <c r="H14">
        <f>ROUND(Tabela1[[#This Row],[wage]] / ((Tabela1[[#This Row],[height]] / 100)^2), 1)</f>
        <v>28.3</v>
      </c>
    </row>
    <row r="15" spans="1:8" hidden="1" x14ac:dyDescent="0.2">
      <c r="A15" t="s">
        <v>39</v>
      </c>
      <c r="B15" t="s">
        <v>40</v>
      </c>
      <c r="C15" t="s">
        <v>13</v>
      </c>
      <c r="D15">
        <v>36</v>
      </c>
      <c r="E15">
        <v>197</v>
      </c>
      <c r="F15">
        <v>66</v>
      </c>
      <c r="G15" t="s">
        <v>17</v>
      </c>
      <c r="H15">
        <f>ROUND(Tabela1[[#This Row],[wage]] / ((Tabela1[[#This Row],[height]] / 100)^2), 1)</f>
        <v>17</v>
      </c>
    </row>
    <row r="16" spans="1:8" x14ac:dyDescent="0.2">
      <c r="A16" t="s">
        <v>157</v>
      </c>
      <c r="B16" t="s">
        <v>158</v>
      </c>
      <c r="C16" t="s">
        <v>13</v>
      </c>
      <c r="D16">
        <v>25</v>
      </c>
      <c r="E16">
        <v>189</v>
      </c>
      <c r="F16">
        <v>119</v>
      </c>
      <c r="G16" t="s">
        <v>10</v>
      </c>
      <c r="H16">
        <f>ROUND(Tabela1[[#This Row],[wage]] / ((Tabela1[[#This Row],[height]] / 100)^2), 1)</f>
        <v>33.299999999999997</v>
      </c>
    </row>
    <row r="17" spans="1:8" hidden="1" x14ac:dyDescent="0.2">
      <c r="A17" t="s">
        <v>43</v>
      </c>
      <c r="B17" t="s">
        <v>44</v>
      </c>
      <c r="C17" t="s">
        <v>13</v>
      </c>
      <c r="D17">
        <v>35</v>
      </c>
      <c r="E17">
        <v>183</v>
      </c>
      <c r="F17">
        <v>108</v>
      </c>
      <c r="G17" t="s">
        <v>17</v>
      </c>
      <c r="H17">
        <f>ROUND(Tabela1[[#This Row],[wage]] / ((Tabela1[[#This Row],[height]] / 100)^2), 1)</f>
        <v>32.200000000000003</v>
      </c>
    </row>
    <row r="18" spans="1:8" hidden="1" x14ac:dyDescent="0.2">
      <c r="A18" t="s">
        <v>45</v>
      </c>
      <c r="B18" t="s">
        <v>46</v>
      </c>
      <c r="C18" t="s">
        <v>13</v>
      </c>
      <c r="D18">
        <v>20</v>
      </c>
      <c r="E18">
        <v>160</v>
      </c>
      <c r="F18">
        <v>105</v>
      </c>
      <c r="G18" t="s">
        <v>14</v>
      </c>
      <c r="H18">
        <f>ROUND(Tabela1[[#This Row],[wage]] / ((Tabela1[[#This Row],[height]] / 100)^2), 1)</f>
        <v>41</v>
      </c>
    </row>
    <row r="19" spans="1:8" hidden="1" x14ac:dyDescent="0.2">
      <c r="A19" t="s">
        <v>47</v>
      </c>
      <c r="B19" t="s">
        <v>48</v>
      </c>
      <c r="C19" t="s">
        <v>13</v>
      </c>
      <c r="D19">
        <v>60</v>
      </c>
      <c r="E19">
        <v>163</v>
      </c>
      <c r="F19">
        <v>57</v>
      </c>
      <c r="G19" t="s">
        <v>22</v>
      </c>
      <c r="H19">
        <f>ROUND(Tabela1[[#This Row],[wage]] / ((Tabela1[[#This Row],[height]] / 100)^2), 1)</f>
        <v>21.5</v>
      </c>
    </row>
    <row r="20" spans="1:8" x14ac:dyDescent="0.2">
      <c r="A20" t="s">
        <v>57</v>
      </c>
      <c r="B20" t="s">
        <v>58</v>
      </c>
      <c r="C20" t="s">
        <v>13</v>
      </c>
      <c r="D20">
        <v>47</v>
      </c>
      <c r="E20">
        <v>187</v>
      </c>
      <c r="F20">
        <v>88</v>
      </c>
      <c r="G20" t="s">
        <v>10</v>
      </c>
      <c r="H20">
        <f>ROUND(Tabela1[[#This Row],[wage]] / ((Tabela1[[#This Row],[height]] / 100)^2), 1)</f>
        <v>25.2</v>
      </c>
    </row>
    <row r="21" spans="1:8" hidden="1" x14ac:dyDescent="0.2">
      <c r="A21" t="s">
        <v>51</v>
      </c>
      <c r="B21" t="s">
        <v>52</v>
      </c>
      <c r="C21" t="s">
        <v>13</v>
      </c>
      <c r="D21">
        <v>60</v>
      </c>
      <c r="E21">
        <v>161</v>
      </c>
      <c r="F21">
        <v>82</v>
      </c>
      <c r="G21" t="s">
        <v>22</v>
      </c>
      <c r="H21">
        <f>ROUND(Tabela1[[#This Row],[wage]] / ((Tabela1[[#This Row],[height]] / 100)^2), 1)</f>
        <v>31.6</v>
      </c>
    </row>
    <row r="22" spans="1:8" x14ac:dyDescent="0.2">
      <c r="A22" t="s">
        <v>169</v>
      </c>
      <c r="B22" t="s">
        <v>170</v>
      </c>
      <c r="C22" t="s">
        <v>13</v>
      </c>
      <c r="D22">
        <v>48</v>
      </c>
      <c r="E22">
        <v>187</v>
      </c>
      <c r="F22">
        <v>84</v>
      </c>
      <c r="G22" t="s">
        <v>10</v>
      </c>
      <c r="H22">
        <f>ROUND(Tabela1[[#This Row],[wage]] / ((Tabela1[[#This Row],[height]] / 100)^2), 1)</f>
        <v>24</v>
      </c>
    </row>
    <row r="23" spans="1:8" x14ac:dyDescent="0.2">
      <c r="A23" t="s">
        <v>185</v>
      </c>
      <c r="B23" t="s">
        <v>186</v>
      </c>
      <c r="C23" t="s">
        <v>13</v>
      </c>
      <c r="D23">
        <v>34</v>
      </c>
      <c r="E23">
        <v>187</v>
      </c>
      <c r="F23">
        <v>81</v>
      </c>
      <c r="G23" t="s">
        <v>10</v>
      </c>
      <c r="H23">
        <f>ROUND(Tabela1[[#This Row],[wage]] / ((Tabela1[[#This Row],[height]] / 100)^2), 1)</f>
        <v>23.2</v>
      </c>
    </row>
    <row r="24" spans="1:8" x14ac:dyDescent="0.2">
      <c r="A24" t="s">
        <v>55</v>
      </c>
      <c r="B24" t="s">
        <v>56</v>
      </c>
      <c r="C24" t="s">
        <v>9</v>
      </c>
      <c r="D24">
        <v>52</v>
      </c>
      <c r="E24">
        <v>186</v>
      </c>
      <c r="F24">
        <v>104</v>
      </c>
      <c r="G24" t="s">
        <v>10</v>
      </c>
      <c r="H24">
        <f>ROUND(Tabela1[[#This Row],[wage]] / ((Tabela1[[#This Row],[height]] / 100)^2), 1)</f>
        <v>30.1</v>
      </c>
    </row>
    <row r="25" spans="1:8" hidden="1" x14ac:dyDescent="0.2">
      <c r="A25" t="s">
        <v>59</v>
      </c>
      <c r="B25" t="s">
        <v>60</v>
      </c>
      <c r="C25" t="s">
        <v>9</v>
      </c>
      <c r="D25">
        <v>45</v>
      </c>
      <c r="E25">
        <v>160</v>
      </c>
      <c r="F25">
        <v>113</v>
      </c>
      <c r="G25" t="s">
        <v>17</v>
      </c>
      <c r="H25">
        <f>ROUND(Tabela1[[#This Row],[wage]] / ((Tabela1[[#This Row],[height]] / 100)^2), 1)</f>
        <v>44.1</v>
      </c>
    </row>
    <row r="26" spans="1:8" x14ac:dyDescent="0.2">
      <c r="A26" t="s">
        <v>49</v>
      </c>
      <c r="B26" t="s">
        <v>50</v>
      </c>
      <c r="C26" t="s">
        <v>9</v>
      </c>
      <c r="D26">
        <v>50</v>
      </c>
      <c r="E26">
        <v>185</v>
      </c>
      <c r="F26">
        <v>86</v>
      </c>
      <c r="G26" t="s">
        <v>10</v>
      </c>
      <c r="H26">
        <f>ROUND(Tabela1[[#This Row],[wage]] / ((Tabela1[[#This Row],[height]] / 100)^2), 1)</f>
        <v>25.1</v>
      </c>
    </row>
    <row r="27" spans="1:8" hidden="1" x14ac:dyDescent="0.2">
      <c r="A27" t="s">
        <v>63</v>
      </c>
      <c r="B27" t="s">
        <v>64</v>
      </c>
      <c r="C27" t="s">
        <v>9</v>
      </c>
      <c r="D27">
        <v>53</v>
      </c>
      <c r="E27">
        <v>158</v>
      </c>
      <c r="F27">
        <v>105</v>
      </c>
      <c r="G27" t="s">
        <v>14</v>
      </c>
      <c r="H27">
        <f>ROUND(Tabela1[[#This Row],[wage]] / ((Tabela1[[#This Row],[height]] / 100)^2), 1)</f>
        <v>42.1</v>
      </c>
    </row>
    <row r="28" spans="1:8" hidden="1" x14ac:dyDescent="0.2">
      <c r="A28" t="s">
        <v>65</v>
      </c>
      <c r="B28" t="s">
        <v>66</v>
      </c>
      <c r="C28" t="s">
        <v>13</v>
      </c>
      <c r="D28">
        <v>56</v>
      </c>
      <c r="E28">
        <v>180</v>
      </c>
      <c r="F28">
        <v>111</v>
      </c>
      <c r="G28" t="s">
        <v>22</v>
      </c>
      <c r="H28">
        <f>ROUND(Tabela1[[#This Row],[wage]] / ((Tabela1[[#This Row],[height]] / 100)^2), 1)</f>
        <v>34.299999999999997</v>
      </c>
    </row>
    <row r="29" spans="1:8" hidden="1" x14ac:dyDescent="0.2">
      <c r="A29" t="s">
        <v>67</v>
      </c>
      <c r="B29" t="s">
        <v>68</v>
      </c>
      <c r="C29" t="s">
        <v>13</v>
      </c>
      <c r="D29">
        <v>23</v>
      </c>
      <c r="E29">
        <v>165</v>
      </c>
      <c r="F29">
        <v>52</v>
      </c>
      <c r="G29" t="s">
        <v>17</v>
      </c>
      <c r="H29">
        <f>ROUND(Tabela1[[#This Row],[wage]] / ((Tabela1[[#This Row],[height]] / 100)^2), 1)</f>
        <v>19.100000000000001</v>
      </c>
    </row>
    <row r="30" spans="1:8" x14ac:dyDescent="0.2">
      <c r="A30" t="s">
        <v>193</v>
      </c>
      <c r="B30" t="s">
        <v>194</v>
      </c>
      <c r="C30" t="s">
        <v>9</v>
      </c>
      <c r="D30">
        <v>21</v>
      </c>
      <c r="E30">
        <v>185</v>
      </c>
      <c r="F30">
        <v>62</v>
      </c>
      <c r="G30" t="s">
        <v>10</v>
      </c>
      <c r="H30">
        <f>ROUND(Tabela1[[#This Row],[wage]] / ((Tabela1[[#This Row],[height]] / 100)^2), 1)</f>
        <v>18.100000000000001</v>
      </c>
    </row>
    <row r="31" spans="1:8" hidden="1" x14ac:dyDescent="0.2">
      <c r="A31" t="s">
        <v>71</v>
      </c>
      <c r="B31" t="s">
        <v>72</v>
      </c>
      <c r="C31" t="s">
        <v>13</v>
      </c>
      <c r="D31">
        <v>42</v>
      </c>
      <c r="E31">
        <v>166</v>
      </c>
      <c r="F31">
        <v>90</v>
      </c>
      <c r="G31" t="s">
        <v>14</v>
      </c>
      <c r="H31">
        <f>ROUND(Tabela1[[#This Row],[wage]] / ((Tabela1[[#This Row],[height]] / 100)^2), 1)</f>
        <v>32.700000000000003</v>
      </c>
    </row>
    <row r="32" spans="1:8" hidden="1" x14ac:dyDescent="0.2">
      <c r="A32" t="s">
        <v>73</v>
      </c>
      <c r="B32" t="s">
        <v>74</v>
      </c>
      <c r="C32" t="s">
        <v>9</v>
      </c>
      <c r="D32">
        <v>44</v>
      </c>
      <c r="E32">
        <v>196</v>
      </c>
      <c r="F32">
        <v>54</v>
      </c>
      <c r="G32" t="s">
        <v>17</v>
      </c>
      <c r="H32">
        <f>ROUND(Tabela1[[#This Row],[wage]] / ((Tabela1[[#This Row],[height]] / 100)^2), 1)</f>
        <v>14.1</v>
      </c>
    </row>
    <row r="33" spans="1:8" x14ac:dyDescent="0.2">
      <c r="A33" t="s">
        <v>195</v>
      </c>
      <c r="B33" t="s">
        <v>196</v>
      </c>
      <c r="C33" t="s">
        <v>13</v>
      </c>
      <c r="D33">
        <v>48</v>
      </c>
      <c r="E33">
        <v>185</v>
      </c>
      <c r="F33">
        <v>91</v>
      </c>
      <c r="G33" t="s">
        <v>10</v>
      </c>
      <c r="H33">
        <f>ROUND(Tabela1[[#This Row],[wage]] / ((Tabela1[[#This Row],[height]] / 100)^2), 1)</f>
        <v>26.6</v>
      </c>
    </row>
    <row r="34" spans="1:8" hidden="1" x14ac:dyDescent="0.2">
      <c r="A34" t="s">
        <v>77</v>
      </c>
      <c r="B34" t="s">
        <v>78</v>
      </c>
      <c r="C34" t="s">
        <v>9</v>
      </c>
      <c r="D34">
        <v>50</v>
      </c>
      <c r="E34">
        <v>188</v>
      </c>
      <c r="F34">
        <v>82</v>
      </c>
      <c r="G34" t="s">
        <v>22</v>
      </c>
      <c r="H34">
        <f>ROUND(Tabela1[[#This Row],[wage]] / ((Tabela1[[#This Row],[height]] / 100)^2), 1)</f>
        <v>23.2</v>
      </c>
    </row>
    <row r="35" spans="1:8" x14ac:dyDescent="0.2">
      <c r="A35" t="s">
        <v>25</v>
      </c>
      <c r="B35" t="s">
        <v>26</v>
      </c>
      <c r="C35" t="s">
        <v>9</v>
      </c>
      <c r="D35">
        <v>31</v>
      </c>
      <c r="E35">
        <v>183</v>
      </c>
      <c r="F35">
        <v>78</v>
      </c>
      <c r="G35" t="s">
        <v>10</v>
      </c>
      <c r="H35">
        <f>ROUND(Tabela1[[#This Row],[wage]] / ((Tabela1[[#This Row],[height]] / 100)^2), 1)</f>
        <v>23.3</v>
      </c>
    </row>
    <row r="36" spans="1:8" hidden="1" x14ac:dyDescent="0.2">
      <c r="A36" t="s">
        <v>81</v>
      </c>
      <c r="B36" t="s">
        <v>82</v>
      </c>
      <c r="C36" t="s">
        <v>13</v>
      </c>
      <c r="D36">
        <v>48</v>
      </c>
      <c r="E36">
        <v>164</v>
      </c>
      <c r="F36">
        <v>60</v>
      </c>
      <c r="G36" t="s">
        <v>14</v>
      </c>
      <c r="H36">
        <f>ROUND(Tabela1[[#This Row],[wage]] / ((Tabela1[[#This Row],[height]] / 100)^2), 1)</f>
        <v>22.3</v>
      </c>
    </row>
    <row r="37" spans="1:8" x14ac:dyDescent="0.2">
      <c r="A37" t="s">
        <v>91</v>
      </c>
      <c r="B37" t="s">
        <v>92</v>
      </c>
      <c r="C37" t="s">
        <v>13</v>
      </c>
      <c r="D37">
        <v>43</v>
      </c>
      <c r="E37">
        <v>182</v>
      </c>
      <c r="F37">
        <v>55</v>
      </c>
      <c r="G37" t="s">
        <v>10</v>
      </c>
      <c r="H37">
        <f>ROUND(Tabela1[[#This Row],[wage]] / ((Tabela1[[#This Row],[height]] / 100)^2), 1)</f>
        <v>16.600000000000001</v>
      </c>
    </row>
    <row r="38" spans="1:8" hidden="1" x14ac:dyDescent="0.2">
      <c r="A38" t="s">
        <v>85</v>
      </c>
      <c r="B38" t="s">
        <v>86</v>
      </c>
      <c r="C38" t="s">
        <v>9</v>
      </c>
      <c r="D38">
        <v>29</v>
      </c>
      <c r="E38">
        <v>158</v>
      </c>
      <c r="F38">
        <v>73</v>
      </c>
      <c r="G38" t="s">
        <v>22</v>
      </c>
      <c r="H38">
        <f>ROUND(Tabela1[[#This Row],[wage]] / ((Tabela1[[#This Row],[height]] / 100)^2), 1)</f>
        <v>29.2</v>
      </c>
    </row>
    <row r="39" spans="1:8" hidden="1" x14ac:dyDescent="0.2">
      <c r="A39" t="s">
        <v>87</v>
      </c>
      <c r="B39" t="s">
        <v>88</v>
      </c>
      <c r="C39" t="s">
        <v>9</v>
      </c>
      <c r="D39">
        <v>27</v>
      </c>
      <c r="E39">
        <v>195</v>
      </c>
      <c r="F39">
        <v>113</v>
      </c>
      <c r="G39" t="s">
        <v>14</v>
      </c>
      <c r="H39">
        <f>ROUND(Tabela1[[#This Row],[wage]] / ((Tabela1[[#This Row],[height]] / 100)^2), 1)</f>
        <v>29.7</v>
      </c>
    </row>
    <row r="40" spans="1:8" hidden="1" x14ac:dyDescent="0.2">
      <c r="A40" t="s">
        <v>89</v>
      </c>
      <c r="B40" t="s">
        <v>90</v>
      </c>
      <c r="C40" t="s">
        <v>13</v>
      </c>
      <c r="D40">
        <v>20</v>
      </c>
      <c r="E40">
        <v>164</v>
      </c>
      <c r="F40">
        <v>93</v>
      </c>
      <c r="G40" t="s">
        <v>14</v>
      </c>
      <c r="H40">
        <f>ROUND(Tabela1[[#This Row],[wage]] / ((Tabela1[[#This Row],[height]] / 100)^2), 1)</f>
        <v>34.6</v>
      </c>
    </row>
    <row r="41" spans="1:8" x14ac:dyDescent="0.2">
      <c r="A41" t="s">
        <v>211</v>
      </c>
      <c r="B41" t="s">
        <v>212</v>
      </c>
      <c r="C41" t="s">
        <v>9</v>
      </c>
      <c r="D41">
        <v>20</v>
      </c>
      <c r="E41">
        <v>180</v>
      </c>
      <c r="F41">
        <v>68</v>
      </c>
      <c r="G41" t="s">
        <v>10</v>
      </c>
      <c r="H41">
        <f>ROUND(Tabela1[[#This Row],[wage]] / ((Tabela1[[#This Row],[height]] / 100)^2), 1)</f>
        <v>21</v>
      </c>
    </row>
    <row r="42" spans="1:8" x14ac:dyDescent="0.2">
      <c r="A42" t="s">
        <v>113</v>
      </c>
      <c r="B42" t="s">
        <v>114</v>
      </c>
      <c r="C42" t="s">
        <v>9</v>
      </c>
      <c r="D42">
        <v>18</v>
      </c>
      <c r="E42">
        <v>179</v>
      </c>
      <c r="F42">
        <v>91</v>
      </c>
      <c r="G42" t="s">
        <v>10</v>
      </c>
      <c r="H42">
        <f>ROUND(Tabela1[[#This Row],[wage]] / ((Tabela1[[#This Row],[height]] / 100)^2), 1)</f>
        <v>28.4</v>
      </c>
    </row>
    <row r="43" spans="1:8" x14ac:dyDescent="0.2">
      <c r="A43" t="s">
        <v>83</v>
      </c>
      <c r="B43" t="s">
        <v>84</v>
      </c>
      <c r="C43" t="s">
        <v>13</v>
      </c>
      <c r="D43">
        <v>41</v>
      </c>
      <c r="E43">
        <v>178</v>
      </c>
      <c r="F43">
        <v>104</v>
      </c>
      <c r="G43" t="s">
        <v>10</v>
      </c>
      <c r="H43">
        <f>ROUND(Tabela1[[#This Row],[wage]] / ((Tabela1[[#This Row],[height]] / 100)^2), 1)</f>
        <v>32.799999999999997</v>
      </c>
    </row>
    <row r="44" spans="1:8" hidden="1" x14ac:dyDescent="0.2">
      <c r="A44" t="s">
        <v>97</v>
      </c>
      <c r="B44" t="s">
        <v>98</v>
      </c>
      <c r="C44" t="s">
        <v>9</v>
      </c>
      <c r="D44">
        <v>35</v>
      </c>
      <c r="E44">
        <v>184</v>
      </c>
      <c r="F44">
        <v>95</v>
      </c>
      <c r="G44" t="s">
        <v>17</v>
      </c>
      <c r="H44">
        <f>ROUND(Tabela1[[#This Row],[wage]] / ((Tabela1[[#This Row],[height]] / 100)^2), 1)</f>
        <v>28.1</v>
      </c>
    </row>
    <row r="45" spans="1:8" hidden="1" x14ac:dyDescent="0.2">
      <c r="A45" t="s">
        <v>99</v>
      </c>
      <c r="B45" t="s">
        <v>100</v>
      </c>
      <c r="C45" t="s">
        <v>9</v>
      </c>
      <c r="D45">
        <v>47</v>
      </c>
      <c r="E45">
        <v>171</v>
      </c>
      <c r="F45">
        <v>51</v>
      </c>
      <c r="G45" t="s">
        <v>14</v>
      </c>
      <c r="H45">
        <f>ROUND(Tabela1[[#This Row],[wage]] / ((Tabela1[[#This Row],[height]] / 100)^2), 1)</f>
        <v>17.399999999999999</v>
      </c>
    </row>
    <row r="46" spans="1:8" hidden="1" x14ac:dyDescent="0.2">
      <c r="A46" t="s">
        <v>101</v>
      </c>
      <c r="B46" t="s">
        <v>102</v>
      </c>
      <c r="C46" t="s">
        <v>9</v>
      </c>
      <c r="D46">
        <v>39</v>
      </c>
      <c r="E46">
        <v>172</v>
      </c>
      <c r="F46">
        <v>58</v>
      </c>
      <c r="G46" t="s">
        <v>22</v>
      </c>
      <c r="H46">
        <f>ROUND(Tabela1[[#This Row],[wage]] / ((Tabela1[[#This Row],[height]] / 100)^2), 1)</f>
        <v>19.600000000000001</v>
      </c>
    </row>
    <row r="47" spans="1:8" hidden="1" x14ac:dyDescent="0.2">
      <c r="A47" t="s">
        <v>103</v>
      </c>
      <c r="B47" t="s">
        <v>104</v>
      </c>
      <c r="C47" t="s">
        <v>13</v>
      </c>
      <c r="D47">
        <v>28</v>
      </c>
      <c r="E47">
        <v>184</v>
      </c>
      <c r="F47">
        <v>73</v>
      </c>
      <c r="G47" t="s">
        <v>14</v>
      </c>
      <c r="H47">
        <f>ROUND(Tabela1[[#This Row],[wage]] / ((Tabela1[[#This Row],[height]] / 100)^2), 1)</f>
        <v>21.6</v>
      </c>
    </row>
    <row r="48" spans="1:8" hidden="1" x14ac:dyDescent="0.2">
      <c r="A48" t="s">
        <v>105</v>
      </c>
      <c r="B48" t="s">
        <v>106</v>
      </c>
      <c r="C48" t="s">
        <v>9</v>
      </c>
      <c r="D48">
        <v>60</v>
      </c>
      <c r="E48">
        <v>196</v>
      </c>
      <c r="F48">
        <v>51</v>
      </c>
      <c r="G48" t="s">
        <v>14</v>
      </c>
      <c r="H48">
        <f>ROUND(Tabela1[[#This Row],[wage]] / ((Tabela1[[#This Row],[height]] / 100)^2), 1)</f>
        <v>13.3</v>
      </c>
    </row>
    <row r="49" spans="1:8" hidden="1" x14ac:dyDescent="0.2">
      <c r="A49" t="s">
        <v>107</v>
      </c>
      <c r="B49" t="s">
        <v>108</v>
      </c>
      <c r="C49" t="s">
        <v>9</v>
      </c>
      <c r="D49">
        <v>23</v>
      </c>
      <c r="E49">
        <v>176</v>
      </c>
      <c r="F49">
        <v>108</v>
      </c>
      <c r="G49" t="s">
        <v>14</v>
      </c>
      <c r="H49">
        <f>ROUND(Tabela1[[#This Row],[wage]] / ((Tabela1[[#This Row],[height]] / 100)^2), 1)</f>
        <v>34.9</v>
      </c>
    </row>
    <row r="50" spans="1:8" hidden="1" x14ac:dyDescent="0.2">
      <c r="A50" t="s">
        <v>109</v>
      </c>
      <c r="B50" t="s">
        <v>110</v>
      </c>
      <c r="C50" t="s">
        <v>9</v>
      </c>
      <c r="D50">
        <v>32</v>
      </c>
      <c r="E50">
        <v>173</v>
      </c>
      <c r="F50">
        <v>104</v>
      </c>
      <c r="G50" t="s">
        <v>22</v>
      </c>
      <c r="H50">
        <f>ROUND(Tabela1[[#This Row],[wage]] / ((Tabela1[[#This Row],[height]] / 100)^2), 1)</f>
        <v>34.700000000000003</v>
      </c>
    </row>
    <row r="51" spans="1:8" hidden="1" x14ac:dyDescent="0.2">
      <c r="A51" t="s">
        <v>111</v>
      </c>
      <c r="B51" t="s">
        <v>112</v>
      </c>
      <c r="C51" t="s">
        <v>9</v>
      </c>
      <c r="D51">
        <v>48</v>
      </c>
      <c r="E51">
        <v>165</v>
      </c>
      <c r="F51">
        <v>114</v>
      </c>
      <c r="G51" t="s">
        <v>22</v>
      </c>
      <c r="H51">
        <f>ROUND(Tabela1[[#This Row],[wage]] / ((Tabela1[[#This Row],[height]] / 100)^2), 1)</f>
        <v>41.9</v>
      </c>
    </row>
    <row r="52" spans="1:8" x14ac:dyDescent="0.2">
      <c r="A52" t="s">
        <v>41</v>
      </c>
      <c r="B52" t="s">
        <v>42</v>
      </c>
      <c r="C52" t="s">
        <v>13</v>
      </c>
      <c r="D52">
        <v>33</v>
      </c>
      <c r="E52">
        <v>176</v>
      </c>
      <c r="F52">
        <v>119</v>
      </c>
      <c r="G52" t="s">
        <v>10</v>
      </c>
      <c r="H52">
        <f>ROUND(Tabela1[[#This Row],[wage]] / ((Tabela1[[#This Row],[height]] / 100)^2), 1)</f>
        <v>38.4</v>
      </c>
    </row>
    <row r="53" spans="1:8" hidden="1" x14ac:dyDescent="0.2">
      <c r="A53" t="s">
        <v>115</v>
      </c>
      <c r="B53" t="s">
        <v>116</v>
      </c>
      <c r="C53" t="s">
        <v>9</v>
      </c>
      <c r="D53">
        <v>54</v>
      </c>
      <c r="E53">
        <v>165</v>
      </c>
      <c r="F53">
        <v>65</v>
      </c>
      <c r="G53" t="s">
        <v>14</v>
      </c>
      <c r="H53">
        <f>ROUND(Tabela1[[#This Row],[wage]] / ((Tabela1[[#This Row],[height]] / 100)^2), 1)</f>
        <v>23.9</v>
      </c>
    </row>
    <row r="54" spans="1:8" hidden="1" x14ac:dyDescent="0.2">
      <c r="A54" t="s">
        <v>117</v>
      </c>
      <c r="B54" t="s">
        <v>118</v>
      </c>
      <c r="C54" t="s">
        <v>9</v>
      </c>
      <c r="D54">
        <v>18</v>
      </c>
      <c r="E54">
        <v>165</v>
      </c>
      <c r="F54">
        <v>89</v>
      </c>
      <c r="G54" t="s">
        <v>14</v>
      </c>
      <c r="H54">
        <f>ROUND(Tabela1[[#This Row],[wage]] / ((Tabela1[[#This Row],[height]] / 100)^2), 1)</f>
        <v>32.700000000000003</v>
      </c>
    </row>
    <row r="55" spans="1:8" hidden="1" x14ac:dyDescent="0.2">
      <c r="A55" t="s">
        <v>119</v>
      </c>
      <c r="B55" t="s">
        <v>120</v>
      </c>
      <c r="C55" t="s">
        <v>9</v>
      </c>
      <c r="D55">
        <v>51</v>
      </c>
      <c r="E55">
        <v>157</v>
      </c>
      <c r="F55">
        <v>111</v>
      </c>
      <c r="G55" t="s">
        <v>17</v>
      </c>
      <c r="H55">
        <f>ROUND(Tabela1[[#This Row],[wage]] / ((Tabela1[[#This Row],[height]] / 100)^2), 1)</f>
        <v>45</v>
      </c>
    </row>
    <row r="56" spans="1:8" hidden="1" x14ac:dyDescent="0.2">
      <c r="A56" t="s">
        <v>121</v>
      </c>
      <c r="B56" t="s">
        <v>122</v>
      </c>
      <c r="C56" t="s">
        <v>9</v>
      </c>
      <c r="D56">
        <v>29</v>
      </c>
      <c r="E56">
        <v>168</v>
      </c>
      <c r="F56">
        <v>88</v>
      </c>
      <c r="G56" t="s">
        <v>22</v>
      </c>
      <c r="H56">
        <f>ROUND(Tabela1[[#This Row],[wage]] / ((Tabela1[[#This Row],[height]] / 100)^2), 1)</f>
        <v>31.2</v>
      </c>
    </row>
    <row r="57" spans="1:8" hidden="1" x14ac:dyDescent="0.2">
      <c r="A57" t="s">
        <v>123</v>
      </c>
      <c r="B57" t="s">
        <v>124</v>
      </c>
      <c r="C57" t="s">
        <v>9</v>
      </c>
      <c r="D57">
        <v>34</v>
      </c>
      <c r="E57">
        <v>156</v>
      </c>
      <c r="F57">
        <v>78</v>
      </c>
      <c r="G57" t="s">
        <v>17</v>
      </c>
      <c r="H57">
        <f>ROUND(Tabela1[[#This Row],[wage]] / ((Tabela1[[#This Row],[height]] / 100)^2), 1)</f>
        <v>32.1</v>
      </c>
    </row>
    <row r="58" spans="1:8" hidden="1" x14ac:dyDescent="0.2">
      <c r="A58" t="s">
        <v>125</v>
      </c>
      <c r="B58" t="s">
        <v>126</v>
      </c>
      <c r="C58" t="s">
        <v>13</v>
      </c>
      <c r="D58">
        <v>25</v>
      </c>
      <c r="E58">
        <v>178</v>
      </c>
      <c r="F58">
        <v>112</v>
      </c>
      <c r="G58" t="s">
        <v>17</v>
      </c>
      <c r="H58">
        <f>ROUND(Tabela1[[#This Row],[wage]] / ((Tabela1[[#This Row],[height]] / 100)^2), 1)</f>
        <v>35.299999999999997</v>
      </c>
    </row>
    <row r="59" spans="1:8" hidden="1" x14ac:dyDescent="0.2">
      <c r="A59" t="s">
        <v>127</v>
      </c>
      <c r="B59" t="s">
        <v>128</v>
      </c>
      <c r="C59" t="s">
        <v>9</v>
      </c>
      <c r="D59">
        <v>26</v>
      </c>
      <c r="E59">
        <v>180</v>
      </c>
      <c r="F59">
        <v>82</v>
      </c>
      <c r="G59" t="s">
        <v>17</v>
      </c>
      <c r="H59">
        <f>ROUND(Tabela1[[#This Row],[wage]] / ((Tabela1[[#This Row],[height]] / 100)^2), 1)</f>
        <v>25.3</v>
      </c>
    </row>
    <row r="60" spans="1:8" hidden="1" x14ac:dyDescent="0.2">
      <c r="A60" t="s">
        <v>129</v>
      </c>
      <c r="B60" t="s">
        <v>130</v>
      </c>
      <c r="C60" t="s">
        <v>9</v>
      </c>
      <c r="D60">
        <v>29</v>
      </c>
      <c r="E60">
        <v>194</v>
      </c>
      <c r="F60">
        <v>80</v>
      </c>
      <c r="G60" t="s">
        <v>14</v>
      </c>
      <c r="H60">
        <f>ROUND(Tabela1[[#This Row],[wage]] / ((Tabela1[[#This Row],[height]] / 100)^2), 1)</f>
        <v>21.3</v>
      </c>
    </row>
    <row r="61" spans="1:8" hidden="1" x14ac:dyDescent="0.2">
      <c r="A61" t="s">
        <v>131</v>
      </c>
      <c r="B61" t="s">
        <v>132</v>
      </c>
      <c r="C61" t="s">
        <v>13</v>
      </c>
      <c r="D61">
        <v>25</v>
      </c>
      <c r="E61">
        <v>171</v>
      </c>
      <c r="F61">
        <v>63</v>
      </c>
      <c r="G61" t="s">
        <v>22</v>
      </c>
      <c r="H61">
        <f>ROUND(Tabela1[[#This Row],[wage]] / ((Tabela1[[#This Row],[height]] / 100)^2), 1)</f>
        <v>21.5</v>
      </c>
    </row>
    <row r="62" spans="1:8" x14ac:dyDescent="0.2">
      <c r="A62" t="s">
        <v>199</v>
      </c>
      <c r="B62" t="s">
        <v>200</v>
      </c>
      <c r="C62" t="s">
        <v>9</v>
      </c>
      <c r="D62">
        <v>25</v>
      </c>
      <c r="E62">
        <v>175</v>
      </c>
      <c r="F62">
        <v>102</v>
      </c>
      <c r="G62" t="s">
        <v>10</v>
      </c>
      <c r="H62">
        <f>ROUND(Tabela1[[#This Row],[wage]] / ((Tabela1[[#This Row],[height]] / 100)^2), 1)</f>
        <v>33.299999999999997</v>
      </c>
    </row>
    <row r="63" spans="1:8" hidden="1" x14ac:dyDescent="0.2">
      <c r="A63" t="s">
        <v>135</v>
      </c>
      <c r="B63" t="s">
        <v>136</v>
      </c>
      <c r="C63" t="s">
        <v>9</v>
      </c>
      <c r="D63">
        <v>52</v>
      </c>
      <c r="E63">
        <v>174</v>
      </c>
      <c r="F63">
        <v>77</v>
      </c>
      <c r="G63" t="s">
        <v>17</v>
      </c>
      <c r="H63">
        <f>ROUND(Tabela1[[#This Row],[wage]] / ((Tabela1[[#This Row],[height]] / 100)^2), 1)</f>
        <v>25.4</v>
      </c>
    </row>
    <row r="64" spans="1:8" x14ac:dyDescent="0.2">
      <c r="A64" t="s">
        <v>79</v>
      </c>
      <c r="B64" t="s">
        <v>80</v>
      </c>
      <c r="C64" t="s">
        <v>13</v>
      </c>
      <c r="D64">
        <v>34</v>
      </c>
      <c r="E64">
        <v>174</v>
      </c>
      <c r="F64">
        <v>67</v>
      </c>
      <c r="G64" t="s">
        <v>10</v>
      </c>
      <c r="H64">
        <f>ROUND(Tabela1[[#This Row],[wage]] / ((Tabela1[[#This Row],[height]] / 100)^2), 1)</f>
        <v>22.1</v>
      </c>
    </row>
    <row r="65" spans="1:8" hidden="1" x14ac:dyDescent="0.2">
      <c r="A65" t="s">
        <v>139</v>
      </c>
      <c r="B65" t="s">
        <v>140</v>
      </c>
      <c r="C65" t="s">
        <v>9</v>
      </c>
      <c r="D65">
        <v>33</v>
      </c>
      <c r="E65">
        <v>165</v>
      </c>
      <c r="F65">
        <v>116</v>
      </c>
      <c r="G65" t="s">
        <v>14</v>
      </c>
      <c r="H65">
        <f>ROUND(Tabela1[[#This Row],[wage]] / ((Tabela1[[#This Row],[height]] / 100)^2), 1)</f>
        <v>42.6</v>
      </c>
    </row>
    <row r="66" spans="1:8" x14ac:dyDescent="0.2">
      <c r="A66" t="s">
        <v>18</v>
      </c>
      <c r="B66" t="s">
        <v>19</v>
      </c>
      <c r="C66" t="s">
        <v>13</v>
      </c>
      <c r="D66">
        <v>44</v>
      </c>
      <c r="E66">
        <v>173</v>
      </c>
      <c r="F66">
        <v>92</v>
      </c>
      <c r="G66" t="s">
        <v>10</v>
      </c>
      <c r="H66">
        <f>ROUND(Tabela1[[#This Row],[wage]] / ((Tabela1[[#This Row],[height]] / 100)^2), 1)</f>
        <v>30.7</v>
      </c>
    </row>
    <row r="67" spans="1:8" hidden="1" x14ac:dyDescent="0.2">
      <c r="A67" t="s">
        <v>143</v>
      </c>
      <c r="B67" t="s">
        <v>144</v>
      </c>
      <c r="C67" t="s">
        <v>13</v>
      </c>
      <c r="D67">
        <v>55</v>
      </c>
      <c r="E67">
        <v>193</v>
      </c>
      <c r="F67">
        <v>107</v>
      </c>
      <c r="G67" t="s">
        <v>22</v>
      </c>
      <c r="H67">
        <f>ROUND(Tabela1[[#This Row],[wage]] / ((Tabela1[[#This Row],[height]] / 100)^2), 1)</f>
        <v>28.7</v>
      </c>
    </row>
    <row r="68" spans="1:8" hidden="1" x14ac:dyDescent="0.2">
      <c r="A68" t="s">
        <v>145</v>
      </c>
      <c r="B68" t="s">
        <v>146</v>
      </c>
      <c r="C68" t="s">
        <v>13</v>
      </c>
      <c r="D68">
        <v>51</v>
      </c>
      <c r="E68">
        <v>194</v>
      </c>
      <c r="F68">
        <v>67</v>
      </c>
      <c r="G68" t="s">
        <v>22</v>
      </c>
      <c r="H68">
        <f>ROUND(Tabela1[[#This Row],[wage]] / ((Tabela1[[#This Row],[height]] / 100)^2), 1)</f>
        <v>17.8</v>
      </c>
    </row>
    <row r="69" spans="1:8" hidden="1" x14ac:dyDescent="0.2">
      <c r="A69" t="s">
        <v>147</v>
      </c>
      <c r="B69" t="s">
        <v>148</v>
      </c>
      <c r="C69" t="s">
        <v>9</v>
      </c>
      <c r="D69">
        <v>36</v>
      </c>
      <c r="E69">
        <v>160</v>
      </c>
      <c r="F69">
        <v>113</v>
      </c>
      <c r="G69" t="s">
        <v>17</v>
      </c>
      <c r="H69">
        <f>ROUND(Tabela1[[#This Row],[wage]] / ((Tabela1[[#This Row],[height]] / 100)^2), 1)</f>
        <v>44.1</v>
      </c>
    </row>
    <row r="70" spans="1:8" hidden="1" x14ac:dyDescent="0.2">
      <c r="A70" t="s">
        <v>149</v>
      </c>
      <c r="B70" t="s">
        <v>150</v>
      </c>
      <c r="C70" t="s">
        <v>13</v>
      </c>
      <c r="D70">
        <v>32</v>
      </c>
      <c r="E70">
        <v>156</v>
      </c>
      <c r="F70">
        <v>55</v>
      </c>
      <c r="G70" t="s">
        <v>22</v>
      </c>
      <c r="H70">
        <f>ROUND(Tabela1[[#This Row],[wage]] / ((Tabela1[[#This Row],[height]] / 100)^2), 1)</f>
        <v>22.6</v>
      </c>
    </row>
    <row r="71" spans="1:8" hidden="1" x14ac:dyDescent="0.2">
      <c r="A71" t="s">
        <v>151</v>
      </c>
      <c r="B71" t="s">
        <v>152</v>
      </c>
      <c r="C71" t="s">
        <v>9</v>
      </c>
      <c r="D71">
        <v>55</v>
      </c>
      <c r="E71">
        <v>156</v>
      </c>
      <c r="F71">
        <v>103</v>
      </c>
      <c r="G71" t="s">
        <v>22</v>
      </c>
      <c r="H71">
        <f>ROUND(Tabela1[[#This Row],[wage]] / ((Tabela1[[#This Row],[height]] / 100)^2), 1)</f>
        <v>42.3</v>
      </c>
    </row>
    <row r="72" spans="1:8" hidden="1" x14ac:dyDescent="0.2">
      <c r="A72" t="s">
        <v>153</v>
      </c>
      <c r="B72" t="s">
        <v>154</v>
      </c>
      <c r="C72" t="s">
        <v>9</v>
      </c>
      <c r="D72">
        <v>53</v>
      </c>
      <c r="E72">
        <v>196</v>
      </c>
      <c r="F72">
        <v>62</v>
      </c>
      <c r="G72" t="s">
        <v>17</v>
      </c>
      <c r="H72">
        <f>ROUND(Tabela1[[#This Row],[wage]] / ((Tabela1[[#This Row],[height]] / 100)^2), 1)</f>
        <v>16.100000000000001</v>
      </c>
    </row>
    <row r="73" spans="1:8" hidden="1" x14ac:dyDescent="0.2">
      <c r="A73" t="s">
        <v>155</v>
      </c>
      <c r="B73" t="s">
        <v>156</v>
      </c>
      <c r="C73" t="s">
        <v>9</v>
      </c>
      <c r="D73">
        <v>51</v>
      </c>
      <c r="E73">
        <v>183</v>
      </c>
      <c r="F73">
        <v>111</v>
      </c>
      <c r="G73" t="s">
        <v>22</v>
      </c>
      <c r="H73">
        <f>ROUND(Tabela1[[#This Row],[wage]] / ((Tabela1[[#This Row],[height]] / 100)^2), 1)</f>
        <v>33.1</v>
      </c>
    </row>
    <row r="74" spans="1:8" x14ac:dyDescent="0.2">
      <c r="A74" t="s">
        <v>37</v>
      </c>
      <c r="B74" t="s">
        <v>38</v>
      </c>
      <c r="C74" t="s">
        <v>13</v>
      </c>
      <c r="D74">
        <v>39</v>
      </c>
      <c r="E74">
        <v>173</v>
      </c>
      <c r="F74">
        <v>52</v>
      </c>
      <c r="G74" t="s">
        <v>10</v>
      </c>
      <c r="H74">
        <f>ROUND(Tabela1[[#This Row],[wage]] / ((Tabela1[[#This Row],[height]] / 100)^2), 1)</f>
        <v>17.399999999999999</v>
      </c>
    </row>
    <row r="75" spans="1:8" x14ac:dyDescent="0.2">
      <c r="A75" t="s">
        <v>171</v>
      </c>
      <c r="B75" t="s">
        <v>172</v>
      </c>
      <c r="C75" t="s">
        <v>9</v>
      </c>
      <c r="D75">
        <v>32</v>
      </c>
      <c r="E75">
        <v>173</v>
      </c>
      <c r="F75">
        <v>52</v>
      </c>
      <c r="G75" t="s">
        <v>10</v>
      </c>
      <c r="H75">
        <f>ROUND(Tabela1[[#This Row],[wage]] / ((Tabela1[[#This Row],[height]] / 100)^2), 1)</f>
        <v>17.399999999999999</v>
      </c>
    </row>
    <row r="76" spans="1:8" hidden="1" x14ac:dyDescent="0.2">
      <c r="A76" t="s">
        <v>161</v>
      </c>
      <c r="B76" t="s">
        <v>162</v>
      </c>
      <c r="C76" t="s">
        <v>13</v>
      </c>
      <c r="D76">
        <v>48</v>
      </c>
      <c r="E76">
        <v>156</v>
      </c>
      <c r="F76">
        <v>64</v>
      </c>
      <c r="G76" t="s">
        <v>14</v>
      </c>
      <c r="H76">
        <f>ROUND(Tabela1[[#This Row],[wage]] / ((Tabela1[[#This Row],[height]] / 100)^2), 1)</f>
        <v>26.3</v>
      </c>
    </row>
    <row r="77" spans="1:8" hidden="1" x14ac:dyDescent="0.2">
      <c r="A77" t="s">
        <v>163</v>
      </c>
      <c r="B77" t="s">
        <v>164</v>
      </c>
      <c r="C77" t="s">
        <v>13</v>
      </c>
      <c r="D77">
        <v>49</v>
      </c>
      <c r="E77">
        <v>158</v>
      </c>
      <c r="F77">
        <v>119</v>
      </c>
      <c r="G77" t="s">
        <v>17</v>
      </c>
      <c r="H77">
        <f>ROUND(Tabela1[[#This Row],[wage]] / ((Tabela1[[#This Row],[height]] / 100)^2), 1)</f>
        <v>47.7</v>
      </c>
    </row>
    <row r="78" spans="1:8" hidden="1" x14ac:dyDescent="0.2">
      <c r="A78" t="s">
        <v>165</v>
      </c>
      <c r="B78" t="s">
        <v>166</v>
      </c>
      <c r="C78" t="s">
        <v>13</v>
      </c>
      <c r="D78">
        <v>43</v>
      </c>
      <c r="E78">
        <v>189</v>
      </c>
      <c r="F78">
        <v>100</v>
      </c>
      <c r="G78" t="s">
        <v>22</v>
      </c>
      <c r="H78">
        <f>ROUND(Tabela1[[#This Row],[wage]] / ((Tabela1[[#This Row],[height]] / 100)^2), 1)</f>
        <v>28</v>
      </c>
    </row>
    <row r="79" spans="1:8" hidden="1" x14ac:dyDescent="0.2">
      <c r="A79" t="s">
        <v>167</v>
      </c>
      <c r="B79" t="s">
        <v>168</v>
      </c>
      <c r="C79" t="s">
        <v>9</v>
      </c>
      <c r="D79">
        <v>56</v>
      </c>
      <c r="E79">
        <v>196</v>
      </c>
      <c r="F79">
        <v>62</v>
      </c>
      <c r="G79" t="s">
        <v>17</v>
      </c>
      <c r="H79">
        <f>ROUND(Tabela1[[#This Row],[wage]] / ((Tabela1[[#This Row],[height]] / 100)^2), 1)</f>
        <v>16.100000000000001</v>
      </c>
    </row>
    <row r="80" spans="1:8" x14ac:dyDescent="0.2">
      <c r="A80" t="s">
        <v>191</v>
      </c>
      <c r="B80" t="s">
        <v>192</v>
      </c>
      <c r="C80" t="s">
        <v>9</v>
      </c>
      <c r="D80">
        <v>21</v>
      </c>
      <c r="E80">
        <v>173</v>
      </c>
      <c r="F80">
        <v>100</v>
      </c>
      <c r="G80" t="s">
        <v>10</v>
      </c>
      <c r="H80">
        <f>ROUND(Tabela1[[#This Row],[wage]] / ((Tabela1[[#This Row],[height]] / 100)^2), 1)</f>
        <v>33.4</v>
      </c>
    </row>
    <row r="81" spans="1:8" x14ac:dyDescent="0.2">
      <c r="A81" t="s">
        <v>53</v>
      </c>
      <c r="B81" t="s">
        <v>54</v>
      </c>
      <c r="C81" t="s">
        <v>9</v>
      </c>
      <c r="D81">
        <v>20</v>
      </c>
      <c r="E81">
        <v>169</v>
      </c>
      <c r="F81">
        <v>90</v>
      </c>
      <c r="G81" t="s">
        <v>10</v>
      </c>
      <c r="H81">
        <f>ROUND(Tabela1[[#This Row],[wage]] / ((Tabela1[[#This Row],[height]] / 100)^2), 1)</f>
        <v>31.5</v>
      </c>
    </row>
    <row r="82" spans="1:8" hidden="1" x14ac:dyDescent="0.2">
      <c r="A82" t="s">
        <v>173</v>
      </c>
      <c r="B82" t="s">
        <v>174</v>
      </c>
      <c r="C82" t="s">
        <v>9</v>
      </c>
      <c r="D82">
        <v>39</v>
      </c>
      <c r="E82">
        <v>181</v>
      </c>
      <c r="F82">
        <v>107</v>
      </c>
      <c r="G82" t="s">
        <v>17</v>
      </c>
      <c r="H82">
        <f>ROUND(Tabela1[[#This Row],[wage]] / ((Tabela1[[#This Row],[height]] / 100)^2), 1)</f>
        <v>32.700000000000003</v>
      </c>
    </row>
    <row r="83" spans="1:8" x14ac:dyDescent="0.2">
      <c r="A83" t="s">
        <v>159</v>
      </c>
      <c r="B83" t="s">
        <v>160</v>
      </c>
      <c r="C83" t="s">
        <v>9</v>
      </c>
      <c r="D83">
        <v>52</v>
      </c>
      <c r="E83">
        <v>169</v>
      </c>
      <c r="F83">
        <v>70</v>
      </c>
      <c r="G83" t="s">
        <v>10</v>
      </c>
      <c r="H83">
        <f>ROUND(Tabela1[[#This Row],[wage]] / ((Tabela1[[#This Row],[height]] / 100)^2), 1)</f>
        <v>24.5</v>
      </c>
    </row>
    <row r="84" spans="1:8" x14ac:dyDescent="0.2">
      <c r="A84" t="s">
        <v>177</v>
      </c>
      <c r="B84" t="s">
        <v>178</v>
      </c>
      <c r="C84" t="s">
        <v>9</v>
      </c>
      <c r="D84">
        <v>49</v>
      </c>
      <c r="E84">
        <v>169</v>
      </c>
      <c r="F84">
        <v>87</v>
      </c>
      <c r="G84" t="s">
        <v>10</v>
      </c>
      <c r="H84">
        <f>ROUND(Tabela1[[#This Row],[wage]] / ((Tabela1[[#This Row],[height]] / 100)^2), 1)</f>
        <v>30.5</v>
      </c>
    </row>
    <row r="85" spans="1:8" hidden="1" x14ac:dyDescent="0.2">
      <c r="A85" t="s">
        <v>179</v>
      </c>
      <c r="B85" t="s">
        <v>180</v>
      </c>
      <c r="C85" t="s">
        <v>9</v>
      </c>
      <c r="D85">
        <v>43</v>
      </c>
      <c r="E85">
        <v>194</v>
      </c>
      <c r="F85">
        <v>50</v>
      </c>
      <c r="G85" t="s">
        <v>14</v>
      </c>
      <c r="H85">
        <f>ROUND(Tabela1[[#This Row],[wage]] / ((Tabela1[[#This Row],[height]] / 100)^2), 1)</f>
        <v>13.3</v>
      </c>
    </row>
    <row r="86" spans="1:8" hidden="1" x14ac:dyDescent="0.2">
      <c r="A86" t="s">
        <v>181</v>
      </c>
      <c r="B86" t="s">
        <v>182</v>
      </c>
      <c r="C86" t="s">
        <v>9</v>
      </c>
      <c r="D86">
        <v>29</v>
      </c>
      <c r="E86">
        <v>194</v>
      </c>
      <c r="F86">
        <v>120</v>
      </c>
      <c r="G86" t="s">
        <v>17</v>
      </c>
      <c r="H86">
        <f>ROUND(Tabela1[[#This Row],[wage]] / ((Tabela1[[#This Row],[height]] / 100)^2), 1)</f>
        <v>31.9</v>
      </c>
    </row>
    <row r="87" spans="1:8" hidden="1" x14ac:dyDescent="0.2">
      <c r="A87" t="s">
        <v>183</v>
      </c>
      <c r="B87" t="s">
        <v>184</v>
      </c>
      <c r="C87" t="s">
        <v>13</v>
      </c>
      <c r="D87">
        <v>58</v>
      </c>
      <c r="E87">
        <v>195</v>
      </c>
      <c r="F87">
        <v>67</v>
      </c>
      <c r="G87" t="s">
        <v>14</v>
      </c>
      <c r="H87">
        <f>ROUND(Tabela1[[#This Row],[wage]] / ((Tabela1[[#This Row],[height]] / 100)^2), 1)</f>
        <v>17.600000000000001</v>
      </c>
    </row>
    <row r="88" spans="1:8" x14ac:dyDescent="0.2">
      <c r="A88" t="s">
        <v>197</v>
      </c>
      <c r="B88" t="s">
        <v>198</v>
      </c>
      <c r="C88" t="s">
        <v>9</v>
      </c>
      <c r="D88">
        <v>35</v>
      </c>
      <c r="E88">
        <v>166</v>
      </c>
      <c r="F88">
        <v>120</v>
      </c>
      <c r="G88" t="s">
        <v>10</v>
      </c>
      <c r="H88">
        <f>ROUND(Tabela1[[#This Row],[wage]] / ((Tabela1[[#This Row],[height]] / 100)^2), 1)</f>
        <v>43.5</v>
      </c>
    </row>
    <row r="89" spans="1:8" hidden="1" x14ac:dyDescent="0.2">
      <c r="A89" t="s">
        <v>187</v>
      </c>
      <c r="B89" t="s">
        <v>188</v>
      </c>
      <c r="C89" t="s">
        <v>13</v>
      </c>
      <c r="D89">
        <v>56</v>
      </c>
      <c r="E89">
        <v>160</v>
      </c>
      <c r="F89">
        <v>75</v>
      </c>
      <c r="G89" t="s">
        <v>17</v>
      </c>
      <c r="H89">
        <f>ROUND(Tabela1[[#This Row],[wage]] / ((Tabela1[[#This Row],[height]] / 100)^2), 1)</f>
        <v>29.3</v>
      </c>
    </row>
    <row r="90" spans="1:8" hidden="1" x14ac:dyDescent="0.2">
      <c r="A90" t="s">
        <v>189</v>
      </c>
      <c r="B90" t="s">
        <v>190</v>
      </c>
      <c r="C90" t="s">
        <v>9</v>
      </c>
      <c r="D90">
        <v>20</v>
      </c>
      <c r="E90">
        <v>187</v>
      </c>
      <c r="F90">
        <v>113</v>
      </c>
      <c r="G90" t="s">
        <v>14</v>
      </c>
      <c r="H90">
        <f>ROUND(Tabela1[[#This Row],[wage]] / ((Tabela1[[#This Row],[height]] / 100)^2), 1)</f>
        <v>32.299999999999997</v>
      </c>
    </row>
    <row r="91" spans="1:8" x14ac:dyDescent="0.2">
      <c r="A91" t="s">
        <v>93</v>
      </c>
      <c r="B91" t="s">
        <v>94</v>
      </c>
      <c r="C91" t="s">
        <v>13</v>
      </c>
      <c r="D91">
        <v>41</v>
      </c>
      <c r="E91">
        <v>160</v>
      </c>
      <c r="F91">
        <v>74</v>
      </c>
      <c r="G91" t="s">
        <v>10</v>
      </c>
      <c r="H91">
        <f>ROUND(Tabela1[[#This Row],[wage]] / ((Tabela1[[#This Row],[height]] / 100)^2), 1)</f>
        <v>28.9</v>
      </c>
    </row>
    <row r="92" spans="1:8" x14ac:dyDescent="0.2">
      <c r="A92" t="s">
        <v>137</v>
      </c>
      <c r="B92" t="s">
        <v>138</v>
      </c>
      <c r="C92" t="s">
        <v>9</v>
      </c>
      <c r="D92">
        <v>42</v>
      </c>
      <c r="E92">
        <v>160</v>
      </c>
      <c r="F92">
        <v>76</v>
      </c>
      <c r="G92" t="s">
        <v>10</v>
      </c>
      <c r="H92">
        <f>ROUND(Tabela1[[#This Row],[wage]] / ((Tabela1[[#This Row],[height]] / 100)^2), 1)</f>
        <v>29.7</v>
      </c>
    </row>
    <row r="93" spans="1:8" x14ac:dyDescent="0.2">
      <c r="A93" t="s">
        <v>141</v>
      </c>
      <c r="B93" t="s">
        <v>142</v>
      </c>
      <c r="C93" t="s">
        <v>13</v>
      </c>
      <c r="D93">
        <v>39</v>
      </c>
      <c r="E93">
        <v>159</v>
      </c>
      <c r="F93">
        <v>101</v>
      </c>
      <c r="G93" t="s">
        <v>10</v>
      </c>
      <c r="H93">
        <f>ROUND(Tabela1[[#This Row],[wage]] / ((Tabela1[[#This Row],[height]] / 100)^2), 1)</f>
        <v>40</v>
      </c>
    </row>
    <row r="94" spans="1:8" x14ac:dyDescent="0.2">
      <c r="A94" t="s">
        <v>61</v>
      </c>
      <c r="B94" t="s">
        <v>62</v>
      </c>
      <c r="C94" t="s">
        <v>9</v>
      </c>
      <c r="D94">
        <v>45</v>
      </c>
      <c r="E94">
        <v>158</v>
      </c>
      <c r="F94">
        <v>93</v>
      </c>
      <c r="G94" t="s">
        <v>10</v>
      </c>
      <c r="H94">
        <f>ROUND(Tabela1[[#This Row],[wage]] / ((Tabela1[[#This Row],[height]] / 100)^2), 1)</f>
        <v>37.299999999999997</v>
      </c>
    </row>
    <row r="95" spans="1:8" x14ac:dyDescent="0.2">
      <c r="A95" t="s">
        <v>75</v>
      </c>
      <c r="B95" t="s">
        <v>76</v>
      </c>
      <c r="C95" t="s">
        <v>13</v>
      </c>
      <c r="D95">
        <v>55</v>
      </c>
      <c r="E95">
        <v>158</v>
      </c>
      <c r="F95">
        <v>69</v>
      </c>
      <c r="G95" t="s">
        <v>10</v>
      </c>
      <c r="H95">
        <f>ROUND(Tabela1[[#This Row],[wage]] / ((Tabela1[[#This Row],[height]] / 100)^2), 1)</f>
        <v>27.6</v>
      </c>
    </row>
    <row r="96" spans="1:8" x14ac:dyDescent="0.2">
      <c r="A96" t="s">
        <v>7</v>
      </c>
      <c r="B96" t="s">
        <v>8</v>
      </c>
      <c r="C96" t="s">
        <v>9</v>
      </c>
      <c r="D96">
        <v>32</v>
      </c>
      <c r="E96">
        <v>157</v>
      </c>
      <c r="F96">
        <v>88</v>
      </c>
      <c r="G96" t="s">
        <v>10</v>
      </c>
      <c r="H96">
        <f>ROUND(Tabela1[[#This Row],[wage]] / ((Tabela1[[#This Row],[height]] / 100)^2), 1)</f>
        <v>35.700000000000003</v>
      </c>
    </row>
    <row r="97" spans="1:8" hidden="1" x14ac:dyDescent="0.2">
      <c r="A97" t="s">
        <v>203</v>
      </c>
      <c r="B97" t="s">
        <v>204</v>
      </c>
      <c r="C97" t="s">
        <v>9</v>
      </c>
      <c r="D97">
        <v>35</v>
      </c>
      <c r="E97">
        <v>190</v>
      </c>
      <c r="F97">
        <v>94</v>
      </c>
      <c r="G97" t="s">
        <v>22</v>
      </c>
      <c r="H97">
        <f>ROUND(Tabela1[[#This Row],[wage]] / ((Tabela1[[#This Row],[height]] / 100)^2), 1)</f>
        <v>26</v>
      </c>
    </row>
    <row r="98" spans="1:8" hidden="1" x14ac:dyDescent="0.2">
      <c r="A98" t="s">
        <v>205</v>
      </c>
      <c r="B98" t="s">
        <v>206</v>
      </c>
      <c r="C98" t="s">
        <v>13</v>
      </c>
      <c r="D98">
        <v>59</v>
      </c>
      <c r="E98">
        <v>192</v>
      </c>
      <c r="F98">
        <v>102</v>
      </c>
      <c r="G98" t="s">
        <v>22</v>
      </c>
      <c r="H98">
        <f>ROUND(Tabela1[[#This Row],[wage]] / ((Tabela1[[#This Row],[height]] / 100)^2), 1)</f>
        <v>27.7</v>
      </c>
    </row>
    <row r="99" spans="1:8" hidden="1" x14ac:dyDescent="0.2">
      <c r="A99" t="s">
        <v>207</v>
      </c>
      <c r="B99" t="s">
        <v>208</v>
      </c>
      <c r="C99" t="s">
        <v>13</v>
      </c>
      <c r="D99">
        <v>35</v>
      </c>
      <c r="E99">
        <v>179</v>
      </c>
      <c r="F99">
        <v>110</v>
      </c>
      <c r="G99" t="s">
        <v>22</v>
      </c>
      <c r="H99">
        <f>ROUND(Tabela1[[#This Row],[wage]] / ((Tabela1[[#This Row],[height]] / 100)^2), 1)</f>
        <v>34.299999999999997</v>
      </c>
    </row>
    <row r="100" spans="1:8" x14ac:dyDescent="0.2">
      <c r="A100" t="s">
        <v>209</v>
      </c>
      <c r="B100" t="s">
        <v>210</v>
      </c>
      <c r="C100" t="s">
        <v>9</v>
      </c>
      <c r="D100">
        <v>44</v>
      </c>
      <c r="E100">
        <v>157</v>
      </c>
      <c r="F100">
        <v>117</v>
      </c>
      <c r="G100" t="s">
        <v>10</v>
      </c>
      <c r="H100">
        <f>ROUND(Tabela1[[#This Row],[wage]] / ((Tabela1[[#This Row],[height]] / 100)^2), 1)</f>
        <v>47.5</v>
      </c>
    </row>
    <row r="101" spans="1:8" x14ac:dyDescent="0.2">
      <c r="A101" t="s">
        <v>175</v>
      </c>
      <c r="B101" t="s">
        <v>176</v>
      </c>
      <c r="C101" t="s">
        <v>9</v>
      </c>
      <c r="D101">
        <v>46</v>
      </c>
      <c r="E101">
        <v>156</v>
      </c>
      <c r="F101">
        <v>107</v>
      </c>
      <c r="G101" t="s">
        <v>10</v>
      </c>
      <c r="H101">
        <f>ROUND(Tabela1[[#This Row],[wage]] / ((Tabela1[[#This Row],[height]] / 100)^2), 1)</f>
        <v>44</v>
      </c>
    </row>
    <row r="102" spans="1:8" x14ac:dyDescent="0.2">
      <c r="A102" t="s">
        <v>213</v>
      </c>
      <c r="H102">
        <f>SUBTOTAL(105,Tabela1[BMI])</f>
        <v>16.600000000000001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1F78-7B9D-4301-923A-65BDE9642E3F}">
  <dimension ref="A3:B6"/>
  <sheetViews>
    <sheetView workbookViewId="0">
      <selection activeCell="V20" sqref="V20"/>
    </sheetView>
  </sheetViews>
  <sheetFormatPr defaultRowHeight="14.25" x14ac:dyDescent="0.2"/>
  <cols>
    <col min="1" max="1" width="17" bestFit="1" customWidth="1"/>
    <col min="2" max="2" width="15.125" bestFit="1" customWidth="1"/>
    <col min="3" max="3" width="8.25" bestFit="1" customWidth="1"/>
    <col min="4" max="4" width="7" bestFit="1" customWidth="1"/>
    <col min="5" max="5" width="8.375" bestFit="1" customWidth="1"/>
    <col min="6" max="6" width="14.125" bestFit="1" customWidth="1"/>
    <col min="7" max="39" width="3.875" bestFit="1" customWidth="1"/>
    <col min="40" max="40" width="14.125" bestFit="1" customWidth="1"/>
    <col min="41" max="41" width="8.375" bestFit="1" customWidth="1"/>
    <col min="42" max="42" width="8.875" bestFit="1" customWidth="1"/>
    <col min="43" max="43" width="6.375" bestFit="1" customWidth="1"/>
    <col min="44" max="44" width="5.125" bestFit="1" customWidth="1"/>
    <col min="45" max="45" width="5.25" bestFit="1" customWidth="1"/>
    <col min="46" max="46" width="7" bestFit="1" customWidth="1"/>
    <col min="47" max="47" width="8" bestFit="1" customWidth="1"/>
    <col min="48" max="48" width="4.625" bestFit="1" customWidth="1"/>
    <col min="49" max="49" width="8.375" bestFit="1" customWidth="1"/>
    <col min="50" max="50" width="9.5" bestFit="1" customWidth="1"/>
    <col min="51" max="51" width="5.375" bestFit="1" customWidth="1"/>
    <col min="52" max="52" width="8.375" bestFit="1" customWidth="1"/>
    <col min="53" max="53" width="4.875" bestFit="1" customWidth="1"/>
    <col min="54" max="54" width="5.75" bestFit="1" customWidth="1"/>
    <col min="55" max="55" width="4.625" bestFit="1" customWidth="1"/>
    <col min="56" max="56" width="6.75" bestFit="1" customWidth="1"/>
    <col min="57" max="57" width="6.625" bestFit="1" customWidth="1"/>
    <col min="58" max="58" width="4.75" bestFit="1" customWidth="1"/>
    <col min="59" max="59" width="5.875" bestFit="1" customWidth="1"/>
    <col min="60" max="60" width="6" bestFit="1" customWidth="1"/>
    <col min="61" max="61" width="5" bestFit="1" customWidth="1"/>
    <col min="62" max="62" width="5.625" bestFit="1" customWidth="1"/>
    <col min="63" max="63" width="5.25" bestFit="1" customWidth="1"/>
    <col min="64" max="64" width="5.5" bestFit="1" customWidth="1"/>
    <col min="65" max="65" width="7.375" bestFit="1" customWidth="1"/>
    <col min="66" max="66" width="6.625" bestFit="1" customWidth="1"/>
    <col min="67" max="67" width="8.125" bestFit="1" customWidth="1"/>
    <col min="68" max="68" width="7.5" bestFit="1" customWidth="1"/>
    <col min="69" max="69" width="6.25" bestFit="1" customWidth="1"/>
    <col min="70" max="70" width="7.75" bestFit="1" customWidth="1"/>
    <col min="71" max="71" width="5.5" bestFit="1" customWidth="1"/>
    <col min="72" max="72" width="8.5" bestFit="1" customWidth="1"/>
    <col min="73" max="73" width="5.875" bestFit="1" customWidth="1"/>
    <col min="74" max="74" width="9.625" bestFit="1" customWidth="1"/>
    <col min="75" max="75" width="8.25" bestFit="1" customWidth="1"/>
    <col min="76" max="76" width="4.125" bestFit="1" customWidth="1"/>
    <col min="77" max="77" width="5.875" bestFit="1" customWidth="1"/>
    <col min="78" max="78" width="6.875" bestFit="1" customWidth="1"/>
    <col min="79" max="79" width="6.125" bestFit="1" customWidth="1"/>
    <col min="80" max="80" width="4.75" bestFit="1" customWidth="1"/>
    <col min="81" max="81" width="6.375" bestFit="1" customWidth="1"/>
    <col min="82" max="83" width="6.125" bestFit="1" customWidth="1"/>
    <col min="84" max="84" width="6.875" bestFit="1" customWidth="1"/>
    <col min="85" max="85" width="5.625" bestFit="1" customWidth="1"/>
    <col min="86" max="86" width="7.625" bestFit="1" customWidth="1"/>
    <col min="87" max="87" width="7.375" bestFit="1" customWidth="1"/>
    <col min="88" max="88" width="7" bestFit="1" customWidth="1"/>
    <col min="89" max="89" width="4.875" bestFit="1" customWidth="1"/>
    <col min="90" max="90" width="6.25" bestFit="1" customWidth="1"/>
    <col min="91" max="91" width="7.375" bestFit="1" customWidth="1"/>
    <col min="92" max="92" width="8" bestFit="1" customWidth="1"/>
    <col min="93" max="93" width="9.25" bestFit="1" customWidth="1"/>
    <col min="94" max="94" width="6.75" bestFit="1" customWidth="1"/>
    <col min="95" max="95" width="8" bestFit="1" customWidth="1"/>
    <col min="96" max="96" width="5.625" bestFit="1" customWidth="1"/>
    <col min="97" max="97" width="6.375" bestFit="1" customWidth="1"/>
    <col min="98" max="98" width="7.125" bestFit="1" customWidth="1"/>
    <col min="99" max="99" width="5.375" bestFit="1" customWidth="1"/>
    <col min="100" max="100" width="4.125" bestFit="1" customWidth="1"/>
    <col min="101" max="101" width="6.25" bestFit="1" customWidth="1"/>
    <col min="102" max="102" width="14.125" bestFit="1" customWidth="1"/>
    <col min="103" max="103" width="13" bestFit="1" customWidth="1"/>
    <col min="104" max="104" width="12.375" bestFit="1" customWidth="1"/>
    <col min="105" max="105" width="16.125" bestFit="1" customWidth="1"/>
    <col min="106" max="106" width="11.75" bestFit="1" customWidth="1"/>
    <col min="107" max="107" width="15.5" bestFit="1" customWidth="1"/>
    <col min="108" max="108" width="9.625" bestFit="1" customWidth="1"/>
    <col min="109" max="109" width="13.375" bestFit="1" customWidth="1"/>
    <col min="110" max="110" width="7.625" bestFit="1" customWidth="1"/>
    <col min="111" max="112" width="11.25" bestFit="1" customWidth="1"/>
    <col min="113" max="113" width="15" bestFit="1" customWidth="1"/>
    <col min="114" max="114" width="12.125" bestFit="1" customWidth="1"/>
    <col min="115" max="115" width="15.875" bestFit="1" customWidth="1"/>
    <col min="116" max="116" width="9.125" bestFit="1" customWidth="1"/>
    <col min="117" max="117" width="12.75" bestFit="1" customWidth="1"/>
    <col min="118" max="118" width="9.625" bestFit="1" customWidth="1"/>
    <col min="119" max="119" width="13.375" bestFit="1" customWidth="1"/>
    <col min="120" max="120" width="9.75" bestFit="1" customWidth="1"/>
    <col min="121" max="121" width="13.5" bestFit="1" customWidth="1"/>
    <col min="122" max="122" width="10.5" bestFit="1" customWidth="1"/>
    <col min="123" max="123" width="14.25" bestFit="1" customWidth="1"/>
    <col min="125" max="125" width="12.625" bestFit="1" customWidth="1"/>
    <col min="126" max="126" width="9.5" bestFit="1" customWidth="1"/>
    <col min="127" max="127" width="13.25" bestFit="1" customWidth="1"/>
    <col min="128" max="128" width="11.125" bestFit="1" customWidth="1"/>
    <col min="129" max="129" width="14.875" bestFit="1" customWidth="1"/>
    <col min="130" max="130" width="9.75" bestFit="1" customWidth="1"/>
    <col min="131" max="131" width="13.5" bestFit="1" customWidth="1"/>
    <col min="132" max="132" width="8.375" bestFit="1" customWidth="1"/>
    <col min="133" max="133" width="12" bestFit="1" customWidth="1"/>
    <col min="134" max="134" width="10" bestFit="1" customWidth="1"/>
    <col min="135" max="135" width="13.75" bestFit="1" customWidth="1"/>
    <col min="136" max="136" width="12.625" bestFit="1" customWidth="1"/>
    <col min="137" max="137" width="16.375" bestFit="1" customWidth="1"/>
    <col min="138" max="138" width="10" bestFit="1" customWidth="1"/>
    <col min="139" max="139" width="12.375" bestFit="1" customWidth="1"/>
    <col min="140" max="140" width="8.625" bestFit="1" customWidth="1"/>
    <col min="141" max="141" width="12.25" bestFit="1" customWidth="1"/>
    <col min="142" max="142" width="8" bestFit="1" customWidth="1"/>
    <col min="143" max="143" width="11.625" bestFit="1" customWidth="1"/>
    <col min="144" max="144" width="9.25" bestFit="1" customWidth="1"/>
    <col min="145" max="145" width="13" bestFit="1" customWidth="1"/>
    <col min="146" max="146" width="11" bestFit="1" customWidth="1"/>
    <col min="147" max="147" width="14.75" bestFit="1" customWidth="1"/>
    <col min="148" max="148" width="7.75" bestFit="1" customWidth="1"/>
    <col min="149" max="149" width="11.375" bestFit="1" customWidth="1"/>
    <col min="150" max="150" width="11.25" bestFit="1" customWidth="1"/>
    <col min="151" max="151" width="15" bestFit="1" customWidth="1"/>
    <col min="152" max="152" width="8.375" bestFit="1" customWidth="1"/>
    <col min="153" max="153" width="10.875" bestFit="1" customWidth="1"/>
    <col min="154" max="154" width="11.5" bestFit="1" customWidth="1"/>
    <col min="155" max="155" width="15.25" bestFit="1" customWidth="1"/>
    <col min="156" max="156" width="9.75" bestFit="1" customWidth="1"/>
    <col min="157" max="157" width="13.5" bestFit="1" customWidth="1"/>
    <col min="158" max="158" width="9.625" bestFit="1" customWidth="1"/>
    <col min="159" max="159" width="13.375" bestFit="1" customWidth="1"/>
    <col min="160" max="160" width="8.875" bestFit="1" customWidth="1"/>
    <col min="161" max="161" width="12.5" bestFit="1" customWidth="1"/>
    <col min="162" max="162" width="8.5" bestFit="1" customWidth="1"/>
    <col min="163" max="163" width="11.375" bestFit="1" customWidth="1"/>
    <col min="164" max="164" width="9.625" bestFit="1" customWidth="1"/>
    <col min="165" max="165" width="13.375" bestFit="1" customWidth="1"/>
    <col min="166" max="166" width="9" bestFit="1" customWidth="1"/>
    <col min="167" max="167" width="12.625" bestFit="1" customWidth="1"/>
    <col min="168" max="168" width="9.25" bestFit="1" customWidth="1"/>
    <col min="169" max="169" width="13" bestFit="1" customWidth="1"/>
    <col min="170" max="170" width="9.5" bestFit="1" customWidth="1"/>
    <col min="171" max="171" width="13.25" bestFit="1" customWidth="1"/>
    <col min="172" max="172" width="9.125" bestFit="1" customWidth="1"/>
    <col min="173" max="173" width="12.75" bestFit="1" customWidth="1"/>
    <col min="174" max="174" width="7.125" bestFit="1" customWidth="1"/>
    <col min="175" max="175" width="10.75" bestFit="1" customWidth="1"/>
    <col min="176" max="176" width="7.375" bestFit="1" customWidth="1"/>
    <col min="177" max="177" width="10.625" bestFit="1" customWidth="1"/>
    <col min="178" max="178" width="9.25" bestFit="1" customWidth="1"/>
    <col min="179" max="179" width="13" bestFit="1" customWidth="1"/>
    <col min="180" max="180" width="14.5" bestFit="1" customWidth="1"/>
    <col min="181" max="181" width="18.375" bestFit="1" customWidth="1"/>
    <col min="182" max="182" width="8.5" bestFit="1" customWidth="1"/>
    <col min="183" max="183" width="12.125" bestFit="1" customWidth="1"/>
    <col min="184" max="184" width="10.75" bestFit="1" customWidth="1"/>
    <col min="185" max="185" width="14.5" bestFit="1" customWidth="1"/>
    <col min="186" max="186" width="12.75" bestFit="1" customWidth="1"/>
    <col min="187" max="187" width="16.5" bestFit="1" customWidth="1"/>
    <col min="188" max="188" width="12" bestFit="1" customWidth="1"/>
    <col min="189" max="189" width="15.75" bestFit="1" customWidth="1"/>
    <col min="190" max="190" width="9" bestFit="1" customWidth="1"/>
    <col min="191" max="191" width="12.625" bestFit="1" customWidth="1"/>
    <col min="192" max="192" width="8" bestFit="1" customWidth="1"/>
    <col min="193" max="193" width="11.625" bestFit="1" customWidth="1"/>
    <col min="194" max="194" width="7" bestFit="1" customWidth="1"/>
    <col min="195" max="195" width="10.625" bestFit="1" customWidth="1"/>
    <col min="196" max="196" width="11.25" bestFit="1" customWidth="1"/>
    <col min="197" max="197" width="15" bestFit="1" customWidth="1"/>
    <col min="198" max="198" width="9.625" bestFit="1" customWidth="1"/>
    <col min="199" max="199" width="10.625" bestFit="1" customWidth="1"/>
    <col min="200" max="200" width="8.125" bestFit="1" customWidth="1"/>
    <col min="201" max="201" width="11.75" bestFit="1" customWidth="1"/>
    <col min="202" max="202" width="14.125" bestFit="1" customWidth="1"/>
  </cols>
  <sheetData>
    <row r="3" spans="1:2" x14ac:dyDescent="0.2">
      <c r="A3" s="1" t="s">
        <v>214</v>
      </c>
      <c r="B3" t="s">
        <v>417</v>
      </c>
    </row>
    <row r="4" spans="1:2" x14ac:dyDescent="0.2">
      <c r="A4" s="2" t="s">
        <v>13</v>
      </c>
      <c r="B4" s="3">
        <v>44</v>
      </c>
    </row>
    <row r="5" spans="1:2" x14ac:dyDescent="0.2">
      <c r="A5" s="2" t="s">
        <v>9</v>
      </c>
      <c r="B5" s="3">
        <v>56</v>
      </c>
    </row>
    <row r="6" spans="1:2" x14ac:dyDescent="0.2">
      <c r="A6" s="2" t="s">
        <v>215</v>
      </c>
      <c r="B6" s="3">
        <v>100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5B3B-6EB4-451F-BF98-CFD331E62EF6}">
  <dimension ref="A3:B8"/>
  <sheetViews>
    <sheetView workbookViewId="0">
      <selection activeCell="I1" sqref="I1"/>
    </sheetView>
  </sheetViews>
  <sheetFormatPr defaultRowHeight="14.25" x14ac:dyDescent="0.2"/>
  <cols>
    <col min="1" max="1" width="17" bestFit="1" customWidth="1"/>
    <col min="2" max="2" width="15.375" bestFit="1" customWidth="1"/>
  </cols>
  <sheetData>
    <row r="3" spans="1:2" x14ac:dyDescent="0.2">
      <c r="A3" s="1" t="s">
        <v>214</v>
      </c>
      <c r="B3" t="s">
        <v>216</v>
      </c>
    </row>
    <row r="4" spans="1:2" x14ac:dyDescent="0.2">
      <c r="A4" s="2" t="s">
        <v>10</v>
      </c>
      <c r="B4" s="3">
        <v>36</v>
      </c>
    </row>
    <row r="5" spans="1:2" x14ac:dyDescent="0.2">
      <c r="A5" s="2" t="s">
        <v>17</v>
      </c>
      <c r="B5" s="3">
        <v>20</v>
      </c>
    </row>
    <row r="6" spans="1:2" x14ac:dyDescent="0.2">
      <c r="A6" s="2" t="s">
        <v>14</v>
      </c>
      <c r="B6" s="3">
        <v>21</v>
      </c>
    </row>
    <row r="7" spans="1:2" x14ac:dyDescent="0.2">
      <c r="A7" s="2" t="s">
        <v>22</v>
      </c>
      <c r="B7" s="3">
        <v>23</v>
      </c>
    </row>
    <row r="8" spans="1:2" x14ac:dyDescent="0.2">
      <c r="A8" s="2" t="s">
        <v>215</v>
      </c>
      <c r="B8" s="3">
        <v>100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F0D1-C278-436E-A4FA-B6E38718DFC0}">
  <dimension ref="A3:B7"/>
  <sheetViews>
    <sheetView workbookViewId="0">
      <selection activeCell="P7" sqref="P7"/>
    </sheetView>
  </sheetViews>
  <sheetFormatPr defaultRowHeight="14.25" x14ac:dyDescent="0.2"/>
  <cols>
    <col min="1" max="1" width="17" bestFit="1" customWidth="1"/>
    <col min="2" max="2" width="18" bestFit="1" customWidth="1"/>
    <col min="3" max="39" width="3.875" bestFit="1" customWidth="1"/>
    <col min="40" max="40" width="14.125" bestFit="1" customWidth="1"/>
  </cols>
  <sheetData>
    <row r="3" spans="1:2" x14ac:dyDescent="0.2">
      <c r="A3" s="1" t="s">
        <v>214</v>
      </c>
      <c r="B3" t="s">
        <v>418</v>
      </c>
    </row>
    <row r="4" spans="1:2" x14ac:dyDescent="0.2">
      <c r="A4" s="2" t="s">
        <v>10</v>
      </c>
      <c r="B4" s="3">
        <v>197</v>
      </c>
    </row>
    <row r="5" spans="1:2" x14ac:dyDescent="0.2">
      <c r="A5" s="2" t="s">
        <v>17</v>
      </c>
      <c r="B5" s="3">
        <v>197</v>
      </c>
    </row>
    <row r="6" spans="1:2" x14ac:dyDescent="0.2">
      <c r="A6" s="2" t="s">
        <v>14</v>
      </c>
      <c r="B6" s="3">
        <v>196</v>
      </c>
    </row>
    <row r="7" spans="1:2" x14ac:dyDescent="0.2">
      <c r="A7" s="2" t="s">
        <v>22</v>
      </c>
      <c r="B7" s="3">
        <v>194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A9B2-5F2A-46A3-BEFC-89DE178B998F}">
  <dimension ref="A3:B7"/>
  <sheetViews>
    <sheetView workbookViewId="0">
      <selection activeCell="A3" sqref="A3:B7"/>
    </sheetView>
  </sheetViews>
  <sheetFormatPr defaultRowHeight="14.25" x14ac:dyDescent="0.2"/>
  <cols>
    <col min="1" max="1" width="17" bestFit="1" customWidth="1"/>
    <col min="2" max="2" width="13.375" bestFit="1" customWidth="1"/>
  </cols>
  <sheetData>
    <row r="3" spans="1:2" x14ac:dyDescent="0.2">
      <c r="A3" s="1" t="s">
        <v>214</v>
      </c>
      <c r="B3" t="s">
        <v>419</v>
      </c>
    </row>
    <row r="4" spans="1:2" x14ac:dyDescent="0.2">
      <c r="A4" s="2" t="s">
        <v>10</v>
      </c>
      <c r="B4" s="4">
        <v>28.911111111111115</v>
      </c>
    </row>
    <row r="5" spans="1:2" x14ac:dyDescent="0.2">
      <c r="A5" s="2" t="s">
        <v>17</v>
      </c>
      <c r="B5" s="4">
        <v>29.52</v>
      </c>
    </row>
    <row r="6" spans="1:2" x14ac:dyDescent="0.2">
      <c r="A6" s="2" t="s">
        <v>14</v>
      </c>
      <c r="B6" s="4">
        <v>27.761904761904756</v>
      </c>
    </row>
    <row r="7" spans="1:2" x14ac:dyDescent="0.2">
      <c r="A7" s="2" t="s">
        <v>22</v>
      </c>
      <c r="B7" s="4">
        <v>28.913043478260871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F30C-D525-4770-8F29-98F624F634AC}">
  <dimension ref="A4:B9"/>
  <sheetViews>
    <sheetView workbookViewId="0">
      <selection activeCell="AD9" sqref="AD9"/>
    </sheetView>
  </sheetViews>
  <sheetFormatPr defaultRowHeight="14.25" x14ac:dyDescent="0.2"/>
  <cols>
    <col min="1" max="1" width="17" bestFit="1" customWidth="1"/>
    <col min="2" max="2" width="12.125" bestFit="1" customWidth="1"/>
    <col min="3" max="3" width="11.25" bestFit="1" customWidth="1"/>
    <col min="4" max="6" width="4.875" bestFit="1" customWidth="1"/>
    <col min="7" max="7" width="2.875" bestFit="1" customWidth="1"/>
    <col min="8" max="16" width="4.875" bestFit="1" customWidth="1"/>
    <col min="17" max="17" width="2.875" bestFit="1" customWidth="1"/>
    <col min="18" max="27" width="4.875" bestFit="1" customWidth="1"/>
    <col min="28" max="28" width="2.875" bestFit="1" customWidth="1"/>
    <col min="29" max="33" width="4.875" bestFit="1" customWidth="1"/>
    <col min="34" max="34" width="2.875" bestFit="1" customWidth="1"/>
    <col min="35" max="38" width="4.875" bestFit="1" customWidth="1"/>
    <col min="39" max="39" width="2.875" bestFit="1" customWidth="1"/>
    <col min="40" max="64" width="4.875" bestFit="1" customWidth="1"/>
    <col min="65" max="65" width="2.875" bestFit="1" customWidth="1"/>
    <col min="66" max="73" width="4.875" bestFit="1" customWidth="1"/>
    <col min="74" max="75" width="2.875" bestFit="1" customWidth="1"/>
    <col min="76" max="80" width="4.875" bestFit="1" customWidth="1"/>
    <col min="81" max="81" width="2.875" bestFit="1" customWidth="1"/>
    <col min="82" max="82" width="4.875" bestFit="1" customWidth="1"/>
    <col min="83" max="83" width="2.875" bestFit="1" customWidth="1"/>
    <col min="84" max="85" width="4.875" bestFit="1" customWidth="1"/>
    <col min="86" max="86" width="14.125" bestFit="1" customWidth="1"/>
    <col min="87" max="168" width="16.75" bestFit="1" customWidth="1"/>
    <col min="169" max="169" width="19.375" bestFit="1" customWidth="1"/>
    <col min="170" max="170" width="22.625" bestFit="1" customWidth="1"/>
  </cols>
  <sheetData>
    <row r="4" spans="1:2" x14ac:dyDescent="0.2">
      <c r="A4" s="1" t="s">
        <v>214</v>
      </c>
      <c r="B4" t="s">
        <v>420</v>
      </c>
    </row>
    <row r="5" spans="1:2" x14ac:dyDescent="0.2">
      <c r="A5" s="2" t="s">
        <v>10</v>
      </c>
      <c r="B5" s="3">
        <v>8</v>
      </c>
    </row>
    <row r="6" spans="1:2" x14ac:dyDescent="0.2">
      <c r="A6" s="2" t="s">
        <v>17</v>
      </c>
      <c r="B6" s="3">
        <v>2</v>
      </c>
    </row>
    <row r="7" spans="1:2" x14ac:dyDescent="0.2">
      <c r="A7" s="2" t="s">
        <v>14</v>
      </c>
      <c r="B7" s="3">
        <v>5</v>
      </c>
    </row>
    <row r="8" spans="1:2" x14ac:dyDescent="0.2">
      <c r="A8" s="2" t="s">
        <v>22</v>
      </c>
      <c r="B8" s="3">
        <v>5</v>
      </c>
    </row>
    <row r="9" spans="1:2" x14ac:dyDescent="0.2">
      <c r="A9" s="2" t="s">
        <v>215</v>
      </c>
      <c r="B9" s="3">
        <v>20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F33-7E48-4E6C-B251-5E9D3AC4EE08}">
  <dimension ref="A3:E6"/>
  <sheetViews>
    <sheetView workbookViewId="0">
      <selection activeCell="N30" sqref="N30"/>
    </sheetView>
  </sheetViews>
  <sheetFormatPr defaultRowHeight="14.25" x14ac:dyDescent="0.2"/>
  <cols>
    <col min="1" max="1" width="17" bestFit="1" customWidth="1"/>
    <col min="2" max="2" width="16.75" bestFit="1" customWidth="1"/>
    <col min="3" max="3" width="8.25" bestFit="1" customWidth="1"/>
    <col min="4" max="4" width="7" bestFit="1" customWidth="1"/>
    <col min="5" max="5" width="8.375" bestFit="1" customWidth="1"/>
    <col min="6" max="6" width="14.125" bestFit="1" customWidth="1"/>
  </cols>
  <sheetData>
    <row r="3" spans="1:5" x14ac:dyDescent="0.2">
      <c r="A3" s="1" t="s">
        <v>421</v>
      </c>
      <c r="B3" s="1" t="s">
        <v>217</v>
      </c>
    </row>
    <row r="4" spans="1:5" x14ac:dyDescent="0.2">
      <c r="A4" s="1" t="s">
        <v>214</v>
      </c>
      <c r="B4" t="s">
        <v>10</v>
      </c>
      <c r="C4" t="s">
        <v>17</v>
      </c>
      <c r="D4" t="s">
        <v>14</v>
      </c>
      <c r="E4" t="s">
        <v>22</v>
      </c>
    </row>
    <row r="5" spans="1:5" x14ac:dyDescent="0.2">
      <c r="A5" s="2" t="s">
        <v>13</v>
      </c>
      <c r="B5" s="4">
        <v>86.125</v>
      </c>
      <c r="C5" s="4">
        <v>90.857142857142861</v>
      </c>
      <c r="D5" s="4">
        <v>83.666666666666671</v>
      </c>
      <c r="E5" s="4">
        <v>81.583333333333329</v>
      </c>
    </row>
    <row r="6" spans="1:5" x14ac:dyDescent="0.2">
      <c r="A6" s="2" t="s">
        <v>9</v>
      </c>
      <c r="B6" s="4">
        <v>89.05</v>
      </c>
      <c r="C6" s="4">
        <v>86.461538461538467</v>
      </c>
      <c r="D6" s="4">
        <v>82.916666666666671</v>
      </c>
      <c r="E6" s="4">
        <v>92.909090909090907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951ECF-CBC9-44F4-9059-F96B5A5C6B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medical-data (3)</vt:lpstr>
      <vt:lpstr>medical-data (2)</vt:lpstr>
      <vt:lpstr>medical-data</vt:lpstr>
      <vt:lpstr>data</vt:lpstr>
      <vt:lpstr>data_women_men</vt:lpstr>
      <vt:lpstr>data_country</vt:lpstr>
      <vt:lpstr>data_tallest_country</vt:lpstr>
      <vt:lpstr>data_avg_bmi</vt:lpstr>
      <vt:lpstr>data_normal_bmi</vt:lpstr>
      <vt:lpstr>data_avg_weight_poland_slovakia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s-A121-15</cp:lastModifiedBy>
  <dcterms:modified xsi:type="dcterms:W3CDTF">2026-03-27T09:14:41Z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2024-04-11T11:50:08Z</dcterms:created>
  <cp:revision>0</cp:revision>
</cp:coreProperties>
</file>